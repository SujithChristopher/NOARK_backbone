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Ragav\MS Bio Engineering\NOARK_backbone\"/>
    </mc:Choice>
  </mc:AlternateContent>
  <xr:revisionPtr revIDLastSave="0" documentId="8_{066E1095-C33C-4AD9-8F5E-B442E7CDE311}" xr6:coauthVersionLast="47" xr6:coauthVersionMax="47" xr10:uidLastSave="{00000000-0000-0000-0000-000000000000}"/>
  <bookViews>
    <workbookView xWindow="-108" yWindow="-108" windowWidth="23256" windowHeight="12456" activeTab="1" xr2:uid="{996A221F-BD5D-42F0-9C92-EFB24E2B9D7F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96" i="2" l="1"/>
  <c r="P95" i="2"/>
  <c r="P94" i="2"/>
  <c r="P93" i="2"/>
  <c r="L96" i="2"/>
  <c r="L95" i="2"/>
  <c r="L94" i="2"/>
  <c r="L93" i="2"/>
  <c r="A57" i="2"/>
  <c r="C57" i="2"/>
  <c r="E57" i="2"/>
  <c r="I57" i="2"/>
  <c r="K57" i="2"/>
  <c r="M57" i="2"/>
  <c r="M46" i="2"/>
  <c r="K46" i="2"/>
  <c r="I46" i="2"/>
  <c r="E46" i="2"/>
  <c r="C46" i="2"/>
  <c r="A46" i="2"/>
  <c r="M35" i="2"/>
  <c r="K35" i="2"/>
  <c r="I35" i="2"/>
  <c r="E35" i="2"/>
  <c r="C35" i="2"/>
  <c r="A35" i="2"/>
  <c r="M24" i="2"/>
  <c r="K24" i="2"/>
  <c r="I24" i="2"/>
  <c r="E24" i="2"/>
  <c r="C24" i="2"/>
  <c r="A24" i="2"/>
  <c r="M12" i="2"/>
  <c r="K12" i="2"/>
  <c r="I12" i="2"/>
  <c r="E12" i="2"/>
  <c r="C12" i="2"/>
  <c r="A12" i="2"/>
</calcChain>
</file>

<file path=xl/sharedStrings.xml><?xml version="1.0" encoding="utf-8"?>
<sst xmlns="http://schemas.openxmlformats.org/spreadsheetml/2006/main" count="33" uniqueCount="14">
  <si>
    <t>X</t>
  </si>
  <si>
    <t>Y</t>
  </si>
  <si>
    <t>Z</t>
  </si>
  <si>
    <t>0kg</t>
  </si>
  <si>
    <t>2kg</t>
  </si>
  <si>
    <t>4kg</t>
  </si>
  <si>
    <t>1kg</t>
  </si>
  <si>
    <t>3 kg</t>
  </si>
  <si>
    <t>5kg</t>
  </si>
  <si>
    <t>6kg</t>
  </si>
  <si>
    <t>Force-X</t>
  </si>
  <si>
    <t>ADC-X</t>
  </si>
  <si>
    <t>Force-Y</t>
  </si>
  <si>
    <t>ADC-Y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</si>
</sst>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Font="1"/>
    <xf numFmtId="0" fontId="0" fillId="0" borderId="1" xfId="0" applyFont="1" applyBorder="1"/>
    <xf numFmtId="0" fontId="0" fillId="0" borderId="2" xfId="0" applyBorder="1"/>
    <xf numFmtId="0" fontId="1" fillId="0" borderId="2" xfId="0" applyFont="1" applyBorder="1"/>
    <xf numFmtId="0" fontId="0" fillId="0" borderId="3" xfId="0" applyBorder="1"/>
    <xf numFmtId="0" fontId="0" fillId="0" borderId="4" xfId="0" applyFont="1" applyBorder="1"/>
    <xf numFmtId="0" fontId="0" fillId="0" borderId="0" xfId="0" applyBorder="1"/>
    <xf numFmtId="0" fontId="1" fillId="0" borderId="0" xfId="0" applyFont="1" applyBorder="1"/>
    <xf numFmtId="0" fontId="0" fillId="0" borderId="5" xfId="0" applyBorder="1"/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0" fillId="0" borderId="6" xfId="0" applyFont="1" applyBorder="1"/>
    <xf numFmtId="0" fontId="1" fillId="0" borderId="7" xfId="0" applyFont="1" applyBorder="1"/>
    <xf numFmtId="0" fontId="0" fillId="0" borderId="1" xfId="0" applyBorder="1"/>
    <xf numFmtId="0" fontId="0" fillId="0" borderId="4" xfId="0" applyBorder="1"/>
    <xf numFmtId="0" fontId="0" fillId="0" borderId="6" xfId="0" applyBorder="1"/>
    <xf numFmtId="0" fontId="1" fillId="0" borderId="1" xfId="0" applyFont="1" applyBorder="1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1" fillId="2" borderId="0" xfId="0" applyFont="1" applyFill="1"/>
    <xf numFmtId="0" fontId="0" fillId="0" borderId="2" xfId="0" applyFont="1" applyBorder="1"/>
    <xf numFmtId="0" fontId="0" fillId="0" borderId="0" xfId="0" applyFont="1" applyBorder="1"/>
    <xf numFmtId="0" fontId="0" fillId="0" borderId="7" xfId="0" applyFont="1" applyBorder="1"/>
    <xf numFmtId="0" fontId="1" fillId="0" borderId="9" xfId="0" applyFont="1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ADC 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Sheet2!$M$91</c:f>
              <c:strCache>
                <c:ptCount val="1"/>
                <c:pt idx="0">
                  <c:v>ADC-X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Sheet2!$L$92:$L$96</c:f>
              <c:numCache>
                <c:formatCode>General</c:formatCode>
                <c:ptCount val="5"/>
                <c:pt idx="0">
                  <c:v>9.8000000000000007</c:v>
                </c:pt>
                <c:pt idx="1">
                  <c:v>19.600000000000001</c:v>
                </c:pt>
                <c:pt idx="2">
                  <c:v>29.400000000000002</c:v>
                </c:pt>
                <c:pt idx="3">
                  <c:v>39.200000000000003</c:v>
                </c:pt>
                <c:pt idx="4">
                  <c:v>49</c:v>
                </c:pt>
              </c:numCache>
            </c:numRef>
          </c:xVal>
          <c:yVal>
            <c:numRef>
              <c:f>Sheet2!$M$92:$M$96</c:f>
              <c:numCache>
                <c:formatCode>General</c:formatCode>
                <c:ptCount val="5"/>
                <c:pt idx="0">
                  <c:v>175134.5</c:v>
                </c:pt>
                <c:pt idx="1">
                  <c:v>285303.40000000002</c:v>
                </c:pt>
                <c:pt idx="2">
                  <c:v>394861.1</c:v>
                </c:pt>
                <c:pt idx="3">
                  <c:v>504889.7</c:v>
                </c:pt>
                <c:pt idx="4">
                  <c:v>615306.6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44-4144-86FB-CFAB2A06B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4274191"/>
        <c:axId val="1424272751"/>
      </c:scatterChart>
      <c:valAx>
        <c:axId val="14242741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272751"/>
        <c:crosses val="autoZero"/>
        <c:crossBetween val="midCat"/>
      </c:valAx>
      <c:valAx>
        <c:axId val="14242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274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Sheet2!$Q$91</c:f>
              <c:strCache>
                <c:ptCount val="1"/>
                <c:pt idx="0">
                  <c:v>ADC-Y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Sheet2!$P$92:$P$96</c:f>
              <c:numCache>
                <c:formatCode>General</c:formatCode>
                <c:ptCount val="5"/>
                <c:pt idx="0">
                  <c:v>9.8000000000000007</c:v>
                </c:pt>
                <c:pt idx="1">
                  <c:v>19.600000000000001</c:v>
                </c:pt>
                <c:pt idx="2">
                  <c:v>29.400000000000002</c:v>
                </c:pt>
                <c:pt idx="3">
                  <c:v>39.200000000000003</c:v>
                </c:pt>
                <c:pt idx="4">
                  <c:v>49</c:v>
                </c:pt>
              </c:numCache>
            </c:numRef>
          </c:xVal>
          <c:yVal>
            <c:numRef>
              <c:f>Sheet2!$Q$92:$Q$96</c:f>
              <c:numCache>
                <c:formatCode>General</c:formatCode>
                <c:ptCount val="5"/>
                <c:pt idx="0">
                  <c:v>19029.599999999999</c:v>
                </c:pt>
                <c:pt idx="1">
                  <c:v>130350.8</c:v>
                </c:pt>
                <c:pt idx="2">
                  <c:v>241921.6</c:v>
                </c:pt>
                <c:pt idx="3">
                  <c:v>353660.1</c:v>
                </c:pt>
                <c:pt idx="4">
                  <c:v>465710.1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6C-45A1-A854-3D6EF3937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7616815"/>
        <c:axId val="1537618735"/>
      </c:scatterChart>
      <c:valAx>
        <c:axId val="153761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618735"/>
        <c:crosses val="autoZero"/>
        <c:crossBetween val="midCat"/>
      </c:valAx>
      <c:valAx>
        <c:axId val="1537618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61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601980</xdr:colOff>
      <xdr:row>96</xdr:row>
      <xdr:rowOff>41910</xdr:rowOff>
    </xdr:from>
    <xdr:to>
      <xdr:col>10</xdr:col>
      <xdr:colOff>297180</xdr:colOff>
      <xdr:row>111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67E1F49-6B3F-99AB-438A-09FF80FE88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571500</xdr:colOff>
      <xdr:row>96</xdr:row>
      <xdr:rowOff>80010</xdr:rowOff>
    </xdr:from>
    <xdr:to>
      <xdr:col>18</xdr:col>
      <xdr:colOff>266700</xdr:colOff>
      <xdr:row>111</xdr:row>
      <xdr:rowOff>80010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C8E6B4-9774-0E96-CA1D-616F1B9245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22860-F34E-4E13-9BA4-CCDA2F068D68}">
  <dimension ref="A1:G69"/>
  <sheetViews>
    <sheetView workbookViewId="0">
      <selection activeCell="I6" sqref="A1:XFD1048576"/>
    </sheetView>
  </sheetViews>
  <sheetFormatPr defaultRowHeight="14.4" x14ac:dyDescent="0.3"/>
  <sheetData>
    <row r="1" spans="1:7" x14ac:dyDescent="0.3">
      <c r="A1" t="s">
        <v>0</v>
      </c>
      <c r="C1" t="s">
        <v>1</v>
      </c>
      <c r="E1" t="s">
        <v>2</v>
      </c>
    </row>
    <row r="2" spans="1:7" x14ac:dyDescent="0.3">
      <c r="A2" s="3">
        <v>136134</v>
      </c>
      <c r="C2" s="1">
        <v>18098</v>
      </c>
      <c r="E2">
        <v>523</v>
      </c>
      <c r="G2" s="2" t="s">
        <v>3</v>
      </c>
    </row>
    <row r="3" spans="1:7" x14ac:dyDescent="0.3">
      <c r="A3" s="3">
        <v>136032</v>
      </c>
      <c r="C3" s="1">
        <v>18112</v>
      </c>
      <c r="E3">
        <v>516</v>
      </c>
      <c r="G3" s="2"/>
    </row>
    <row r="4" spans="1:7" x14ac:dyDescent="0.3">
      <c r="A4" s="3">
        <v>136291</v>
      </c>
      <c r="C4" s="1">
        <v>17750</v>
      </c>
      <c r="E4">
        <v>573</v>
      </c>
      <c r="G4" s="2"/>
    </row>
    <row r="5" spans="1:7" x14ac:dyDescent="0.3">
      <c r="A5" s="3">
        <v>135985</v>
      </c>
      <c r="C5" s="1">
        <v>19104</v>
      </c>
      <c r="E5">
        <v>618</v>
      </c>
      <c r="G5" s="2"/>
    </row>
    <row r="6" spans="1:7" x14ac:dyDescent="0.3">
      <c r="A6" s="3">
        <v>136209</v>
      </c>
      <c r="C6" s="1">
        <v>18723</v>
      </c>
      <c r="E6">
        <v>517</v>
      </c>
    </row>
    <row r="7" spans="1:7" x14ac:dyDescent="0.3">
      <c r="A7" s="3">
        <v>136305</v>
      </c>
      <c r="C7" s="1">
        <v>18228</v>
      </c>
      <c r="E7">
        <v>528</v>
      </c>
    </row>
    <row r="8" spans="1:7" x14ac:dyDescent="0.3">
      <c r="A8" s="3">
        <v>135864</v>
      </c>
      <c r="C8" s="1">
        <v>18471</v>
      </c>
      <c r="E8">
        <v>492</v>
      </c>
      <c r="G8" s="2"/>
    </row>
    <row r="9" spans="1:7" x14ac:dyDescent="0.3">
      <c r="A9" s="3">
        <v>136496</v>
      </c>
      <c r="C9" s="1">
        <v>17779</v>
      </c>
      <c r="E9">
        <v>541</v>
      </c>
      <c r="G9" s="2"/>
    </row>
    <row r="10" spans="1:7" x14ac:dyDescent="0.3">
      <c r="A10" s="3">
        <v>135913</v>
      </c>
      <c r="C10" s="1">
        <v>18401</v>
      </c>
      <c r="E10">
        <v>529</v>
      </c>
      <c r="G10" s="2"/>
    </row>
    <row r="11" spans="1:7" x14ac:dyDescent="0.3">
      <c r="A11" s="3">
        <v>136329</v>
      </c>
      <c r="C11" s="1">
        <v>18741</v>
      </c>
      <c r="E11">
        <v>504</v>
      </c>
      <c r="G11" s="2"/>
    </row>
    <row r="12" spans="1:7" x14ac:dyDescent="0.3">
      <c r="A12" s="1"/>
      <c r="G12" s="2"/>
    </row>
    <row r="14" spans="1:7" x14ac:dyDescent="0.3">
      <c r="A14">
        <v>139587</v>
      </c>
      <c r="C14" s="1">
        <v>242215</v>
      </c>
      <c r="E14">
        <v>523</v>
      </c>
      <c r="G14" s="2" t="s">
        <v>4</v>
      </c>
    </row>
    <row r="15" spans="1:7" x14ac:dyDescent="0.3">
      <c r="A15">
        <v>139915</v>
      </c>
      <c r="C15" s="1">
        <v>242728</v>
      </c>
      <c r="E15">
        <v>509</v>
      </c>
      <c r="G15" s="2"/>
    </row>
    <row r="16" spans="1:7" x14ac:dyDescent="0.3">
      <c r="A16">
        <v>139771</v>
      </c>
      <c r="C16" s="1">
        <v>242892</v>
      </c>
      <c r="E16">
        <v>503</v>
      </c>
      <c r="G16" s="2"/>
    </row>
    <row r="17" spans="1:7" x14ac:dyDescent="0.3">
      <c r="A17">
        <v>139576</v>
      </c>
      <c r="C17" s="1">
        <v>240956</v>
      </c>
      <c r="E17">
        <v>456</v>
      </c>
      <c r="G17" s="2"/>
    </row>
    <row r="18" spans="1:7" x14ac:dyDescent="0.3">
      <c r="A18">
        <v>139749</v>
      </c>
      <c r="C18" s="1">
        <v>242015</v>
      </c>
      <c r="E18">
        <v>606</v>
      </c>
      <c r="G18" s="2"/>
    </row>
    <row r="19" spans="1:7" x14ac:dyDescent="0.3">
      <c r="A19">
        <v>139803</v>
      </c>
      <c r="C19" s="1">
        <v>242320</v>
      </c>
      <c r="E19">
        <v>609</v>
      </c>
      <c r="G19" s="2"/>
    </row>
    <row r="20" spans="1:7" x14ac:dyDescent="0.3">
      <c r="A20">
        <v>140759</v>
      </c>
      <c r="C20" s="1">
        <v>241526</v>
      </c>
      <c r="E20">
        <v>525</v>
      </c>
      <c r="G20" s="2"/>
    </row>
    <row r="21" spans="1:7" x14ac:dyDescent="0.3">
      <c r="A21">
        <v>139999</v>
      </c>
      <c r="C21" s="1">
        <v>242298</v>
      </c>
      <c r="E21">
        <v>555</v>
      </c>
      <c r="G21" s="2"/>
    </row>
    <row r="22" spans="1:7" x14ac:dyDescent="0.3">
      <c r="A22">
        <v>139897</v>
      </c>
      <c r="C22" s="1">
        <v>242400</v>
      </c>
      <c r="E22">
        <v>500</v>
      </c>
      <c r="G22" s="2"/>
    </row>
    <row r="23" spans="1:7" x14ac:dyDescent="0.3">
      <c r="A23">
        <v>139717</v>
      </c>
      <c r="C23" s="1">
        <v>241547</v>
      </c>
      <c r="E23">
        <v>530</v>
      </c>
      <c r="G23" s="2"/>
    </row>
    <row r="25" spans="1:7" x14ac:dyDescent="0.3">
      <c r="A25">
        <v>142695</v>
      </c>
      <c r="C25">
        <v>466531</v>
      </c>
      <c r="E25">
        <v>513</v>
      </c>
      <c r="G25" s="2" t="s">
        <v>5</v>
      </c>
    </row>
    <row r="26" spans="1:7" x14ac:dyDescent="0.3">
      <c r="A26">
        <v>143172</v>
      </c>
      <c r="C26">
        <v>466037</v>
      </c>
      <c r="E26">
        <v>509</v>
      </c>
      <c r="G26" s="2"/>
    </row>
    <row r="27" spans="1:7" x14ac:dyDescent="0.3">
      <c r="A27">
        <v>143709</v>
      </c>
      <c r="C27">
        <v>467108</v>
      </c>
      <c r="E27">
        <v>494</v>
      </c>
      <c r="G27" s="2"/>
    </row>
    <row r="28" spans="1:7" x14ac:dyDescent="0.3">
      <c r="A28">
        <v>143858</v>
      </c>
      <c r="C28">
        <v>466548</v>
      </c>
      <c r="E28">
        <v>553</v>
      </c>
      <c r="G28" s="2"/>
    </row>
    <row r="29" spans="1:7" x14ac:dyDescent="0.3">
      <c r="A29">
        <v>143732</v>
      </c>
      <c r="C29">
        <v>466647</v>
      </c>
      <c r="E29">
        <v>510</v>
      </c>
      <c r="G29" s="2"/>
    </row>
    <row r="30" spans="1:7" x14ac:dyDescent="0.3">
      <c r="A30">
        <v>143329</v>
      </c>
      <c r="C30">
        <v>466522</v>
      </c>
      <c r="E30">
        <v>471</v>
      </c>
      <c r="G30" s="2"/>
    </row>
    <row r="31" spans="1:7" x14ac:dyDescent="0.3">
      <c r="A31">
        <v>142488</v>
      </c>
      <c r="C31">
        <v>466775</v>
      </c>
      <c r="E31">
        <v>528</v>
      </c>
      <c r="G31" s="2"/>
    </row>
    <row r="32" spans="1:7" x14ac:dyDescent="0.3">
      <c r="A32">
        <v>142034</v>
      </c>
      <c r="C32">
        <v>466321</v>
      </c>
      <c r="E32">
        <v>596</v>
      </c>
      <c r="G32" s="2"/>
    </row>
    <row r="33" spans="1:7" x14ac:dyDescent="0.3">
      <c r="A33">
        <v>141732</v>
      </c>
      <c r="C33">
        <v>466670</v>
      </c>
      <c r="E33">
        <v>543</v>
      </c>
      <c r="G33" s="2"/>
    </row>
    <row r="34" spans="1:7" x14ac:dyDescent="0.3">
      <c r="A34">
        <v>141607</v>
      </c>
      <c r="C34">
        <v>466363</v>
      </c>
      <c r="E34">
        <v>543</v>
      </c>
      <c r="G34" s="2"/>
    </row>
    <row r="36" spans="1:7" x14ac:dyDescent="0.3">
      <c r="A36" s="1">
        <v>170980</v>
      </c>
      <c r="C36">
        <v>8372382</v>
      </c>
      <c r="E36">
        <v>515</v>
      </c>
    </row>
    <row r="37" spans="1:7" x14ac:dyDescent="0.3">
      <c r="A37" s="1">
        <v>170809</v>
      </c>
      <c r="C37">
        <v>8372052</v>
      </c>
      <c r="E37">
        <v>495</v>
      </c>
    </row>
    <row r="38" spans="1:7" x14ac:dyDescent="0.3">
      <c r="A38" s="1">
        <v>171085</v>
      </c>
      <c r="C38">
        <v>8373377</v>
      </c>
      <c r="E38">
        <v>475</v>
      </c>
    </row>
    <row r="39" spans="1:7" x14ac:dyDescent="0.3">
      <c r="A39" s="1">
        <v>170562</v>
      </c>
      <c r="C39">
        <v>8372062</v>
      </c>
      <c r="E39">
        <v>474</v>
      </c>
    </row>
    <row r="40" spans="1:7" x14ac:dyDescent="0.3">
      <c r="A40" s="1">
        <v>170494</v>
      </c>
      <c r="C40">
        <v>8372006</v>
      </c>
      <c r="E40">
        <v>453</v>
      </c>
      <c r="G40" s="2" t="s">
        <v>3</v>
      </c>
    </row>
    <row r="41" spans="1:7" x14ac:dyDescent="0.3">
      <c r="A41" s="1">
        <v>170583</v>
      </c>
      <c r="C41">
        <v>8372352</v>
      </c>
      <c r="E41">
        <v>474</v>
      </c>
      <c r="G41" s="2"/>
    </row>
    <row r="42" spans="1:7" x14ac:dyDescent="0.3">
      <c r="A42" s="1">
        <v>170630</v>
      </c>
      <c r="C42">
        <v>8371777</v>
      </c>
      <c r="E42">
        <v>556</v>
      </c>
      <c r="G42" s="2"/>
    </row>
    <row r="43" spans="1:7" x14ac:dyDescent="0.3">
      <c r="A43" s="1">
        <v>170850</v>
      </c>
      <c r="C43">
        <v>8372059</v>
      </c>
      <c r="E43">
        <v>440</v>
      </c>
      <c r="G43" s="2"/>
    </row>
    <row r="44" spans="1:7" x14ac:dyDescent="0.3">
      <c r="A44" s="1">
        <v>170710</v>
      </c>
      <c r="C44">
        <v>8371769</v>
      </c>
      <c r="E44">
        <v>509</v>
      </c>
      <c r="G44" s="2"/>
    </row>
    <row r="45" spans="1:7" x14ac:dyDescent="0.3">
      <c r="A45" s="1">
        <v>170807</v>
      </c>
      <c r="C45">
        <v>8372148</v>
      </c>
      <c r="E45">
        <v>512</v>
      </c>
    </row>
    <row r="48" spans="1:7" x14ac:dyDescent="0.3">
      <c r="A48" s="1">
        <v>392708</v>
      </c>
      <c r="C48">
        <v>8371370</v>
      </c>
      <c r="E48">
        <v>558</v>
      </c>
    </row>
    <row r="49" spans="1:7" x14ac:dyDescent="0.3">
      <c r="A49" s="1">
        <v>392844</v>
      </c>
      <c r="C49">
        <v>8370688</v>
      </c>
      <c r="E49">
        <v>474</v>
      </c>
    </row>
    <row r="50" spans="1:7" x14ac:dyDescent="0.3">
      <c r="A50" s="1">
        <v>392581</v>
      </c>
      <c r="C50">
        <v>8370992</v>
      </c>
      <c r="E50">
        <v>548</v>
      </c>
      <c r="G50" s="2" t="s">
        <v>4</v>
      </c>
    </row>
    <row r="51" spans="1:7" x14ac:dyDescent="0.3">
      <c r="A51" s="1">
        <v>393269</v>
      </c>
      <c r="C51">
        <v>8371477</v>
      </c>
      <c r="E51">
        <v>573</v>
      </c>
      <c r="G51" s="2"/>
    </row>
    <row r="52" spans="1:7" x14ac:dyDescent="0.3">
      <c r="A52" s="1">
        <v>393614</v>
      </c>
      <c r="C52">
        <v>8370965</v>
      </c>
      <c r="E52">
        <v>618</v>
      </c>
      <c r="G52" s="2"/>
    </row>
    <row r="53" spans="1:7" x14ac:dyDescent="0.3">
      <c r="A53" s="1">
        <v>393968</v>
      </c>
      <c r="C53">
        <v>8370731</v>
      </c>
      <c r="E53">
        <v>555</v>
      </c>
      <c r="G53" s="2"/>
    </row>
    <row r="54" spans="1:7" x14ac:dyDescent="0.3">
      <c r="A54" s="1">
        <v>393928</v>
      </c>
      <c r="C54">
        <v>8370703</v>
      </c>
      <c r="E54">
        <v>517</v>
      </c>
      <c r="G54" s="2"/>
    </row>
    <row r="55" spans="1:7" x14ac:dyDescent="0.3">
      <c r="A55" s="1">
        <v>393604</v>
      </c>
      <c r="C55">
        <v>8372125</v>
      </c>
      <c r="E55">
        <v>568</v>
      </c>
    </row>
    <row r="56" spans="1:7" x14ac:dyDescent="0.3">
      <c r="A56" s="1">
        <v>393503</v>
      </c>
      <c r="C56">
        <v>8370582</v>
      </c>
      <c r="E56">
        <v>511</v>
      </c>
    </row>
    <row r="57" spans="1:7" x14ac:dyDescent="0.3">
      <c r="A57" s="1">
        <v>393686</v>
      </c>
      <c r="C57">
        <v>8371322</v>
      </c>
      <c r="E57">
        <v>541</v>
      </c>
    </row>
    <row r="60" spans="1:7" x14ac:dyDescent="0.3">
      <c r="A60" s="1">
        <v>612027</v>
      </c>
      <c r="C60">
        <v>8369213</v>
      </c>
      <c r="E60">
        <v>604</v>
      </c>
    </row>
    <row r="61" spans="1:7" x14ac:dyDescent="0.3">
      <c r="A61" s="1">
        <v>612640</v>
      </c>
      <c r="C61">
        <v>8367915</v>
      </c>
      <c r="E61">
        <v>635</v>
      </c>
    </row>
    <row r="62" spans="1:7" x14ac:dyDescent="0.3">
      <c r="A62" s="1">
        <v>613206</v>
      </c>
      <c r="C62">
        <v>8368143</v>
      </c>
      <c r="E62">
        <v>577</v>
      </c>
      <c r="G62" s="2" t="s">
        <v>5</v>
      </c>
    </row>
    <row r="63" spans="1:7" x14ac:dyDescent="0.3">
      <c r="A63" s="1">
        <v>613600</v>
      </c>
      <c r="C63">
        <v>8369086</v>
      </c>
      <c r="E63">
        <v>685</v>
      </c>
      <c r="G63" s="2"/>
    </row>
    <row r="64" spans="1:7" x14ac:dyDescent="0.3">
      <c r="A64" s="1">
        <v>615060</v>
      </c>
      <c r="C64">
        <v>8368757</v>
      </c>
      <c r="E64">
        <v>655</v>
      </c>
      <c r="G64" s="2"/>
    </row>
    <row r="65" spans="1:7" x14ac:dyDescent="0.3">
      <c r="A65" s="1">
        <v>615895</v>
      </c>
      <c r="C65">
        <v>8371791</v>
      </c>
      <c r="E65">
        <v>635</v>
      </c>
      <c r="G65" s="2"/>
    </row>
    <row r="66" spans="1:7" x14ac:dyDescent="0.3">
      <c r="A66" s="1">
        <v>616610</v>
      </c>
      <c r="C66">
        <v>8371337</v>
      </c>
      <c r="E66">
        <v>622</v>
      </c>
      <c r="G66" s="2"/>
    </row>
    <row r="67" spans="1:7" x14ac:dyDescent="0.3">
      <c r="A67" s="1">
        <v>615755</v>
      </c>
      <c r="C67">
        <v>8372780</v>
      </c>
      <c r="E67">
        <v>620</v>
      </c>
    </row>
    <row r="68" spans="1:7" x14ac:dyDescent="0.3">
      <c r="A68" s="1">
        <v>614572</v>
      </c>
      <c r="C68">
        <v>8372700</v>
      </c>
      <c r="E68">
        <v>667</v>
      </c>
    </row>
    <row r="69" spans="1:7" x14ac:dyDescent="0.3">
      <c r="A69" s="1">
        <v>613251</v>
      </c>
      <c r="C69">
        <v>8370294</v>
      </c>
      <c r="E69">
        <v>663</v>
      </c>
    </row>
  </sheetData>
  <mergeCells count="7">
    <mergeCell ref="G62:G66"/>
    <mergeCell ref="G2:G5"/>
    <mergeCell ref="G8:G12"/>
    <mergeCell ref="G14:G23"/>
    <mergeCell ref="G25:G34"/>
    <mergeCell ref="G40:G44"/>
    <mergeCell ref="G50:G5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20BF-077B-4843-84B8-D1076DD1A7F9}">
  <dimension ref="A1:Q96"/>
  <sheetViews>
    <sheetView tabSelected="1" topLeftCell="A91" workbookViewId="0">
      <selection activeCell="G89" sqref="G89"/>
    </sheetView>
  </sheetViews>
  <sheetFormatPr defaultRowHeight="14.4" x14ac:dyDescent="0.3"/>
  <sheetData>
    <row r="1" spans="1:15" ht="15" thickBot="1" x14ac:dyDescent="0.35">
      <c r="A1" s="23" t="s">
        <v>0</v>
      </c>
      <c r="B1" s="1"/>
      <c r="C1" s="1" t="s">
        <v>1</v>
      </c>
      <c r="D1" s="1"/>
      <c r="E1" s="1" t="s">
        <v>2</v>
      </c>
      <c r="I1" s="1" t="s">
        <v>0</v>
      </c>
      <c r="J1" s="1"/>
      <c r="K1" s="23" t="s">
        <v>1</v>
      </c>
      <c r="L1" s="1"/>
      <c r="M1" s="1" t="s">
        <v>2</v>
      </c>
      <c r="N1" s="1"/>
    </row>
    <row r="2" spans="1:15" x14ac:dyDescent="0.3">
      <c r="A2" s="20">
        <v>175316</v>
      </c>
      <c r="B2" s="5"/>
      <c r="C2" s="24">
        <v>8366598</v>
      </c>
      <c r="D2" s="5"/>
      <c r="E2" s="5">
        <v>393</v>
      </c>
      <c r="F2" s="7"/>
      <c r="G2" s="2" t="s">
        <v>3</v>
      </c>
      <c r="I2" s="4">
        <v>137055</v>
      </c>
      <c r="J2" s="5"/>
      <c r="K2" s="6">
        <v>18318</v>
      </c>
      <c r="L2" s="5"/>
      <c r="M2" s="5">
        <v>459</v>
      </c>
      <c r="N2" s="7"/>
      <c r="O2" s="2" t="s">
        <v>3</v>
      </c>
    </row>
    <row r="3" spans="1:15" x14ac:dyDescent="0.3">
      <c r="A3" s="21">
        <v>175054</v>
      </c>
      <c r="B3" s="9"/>
      <c r="C3" s="25">
        <v>8366179</v>
      </c>
      <c r="D3" s="9"/>
      <c r="E3" s="9">
        <v>483</v>
      </c>
      <c r="F3" s="11"/>
      <c r="G3" s="2"/>
      <c r="I3" s="8">
        <v>137159</v>
      </c>
      <c r="J3" s="9"/>
      <c r="K3" s="10">
        <v>19451</v>
      </c>
      <c r="L3" s="9"/>
      <c r="M3" s="9">
        <v>513</v>
      </c>
      <c r="N3" s="11"/>
      <c r="O3" s="2"/>
    </row>
    <row r="4" spans="1:15" x14ac:dyDescent="0.3">
      <c r="A4" s="21">
        <v>175121</v>
      </c>
      <c r="B4" s="9"/>
      <c r="C4" s="25">
        <v>8366022</v>
      </c>
      <c r="D4" s="9"/>
      <c r="E4" s="9">
        <v>444</v>
      </c>
      <c r="F4" s="11"/>
      <c r="G4" s="2"/>
      <c r="I4" s="8">
        <v>137352</v>
      </c>
      <c r="J4" s="9"/>
      <c r="K4" s="10">
        <v>19451</v>
      </c>
      <c r="L4" s="9"/>
      <c r="M4" s="9">
        <v>492</v>
      </c>
      <c r="N4" s="11"/>
      <c r="O4" s="2"/>
    </row>
    <row r="5" spans="1:15" x14ac:dyDescent="0.3">
      <c r="A5" s="21">
        <v>174690</v>
      </c>
      <c r="B5" s="9"/>
      <c r="C5" s="25">
        <v>8367811</v>
      </c>
      <c r="D5" s="9"/>
      <c r="E5" s="9">
        <v>389</v>
      </c>
      <c r="F5" s="11"/>
      <c r="G5" s="2"/>
      <c r="I5" s="8">
        <v>136796</v>
      </c>
      <c r="J5" s="9"/>
      <c r="K5" s="10">
        <v>19171</v>
      </c>
      <c r="L5" s="9"/>
      <c r="M5" s="9">
        <v>452</v>
      </c>
      <c r="N5" s="11"/>
      <c r="O5" s="2"/>
    </row>
    <row r="6" spans="1:15" x14ac:dyDescent="0.3">
      <c r="A6" s="21">
        <v>175011</v>
      </c>
      <c r="B6" s="9"/>
      <c r="C6" s="25">
        <v>8367458</v>
      </c>
      <c r="D6" s="9"/>
      <c r="E6" s="9">
        <v>447</v>
      </c>
      <c r="F6" s="11"/>
      <c r="I6" s="8">
        <v>136736</v>
      </c>
      <c r="J6" s="9"/>
      <c r="K6" s="10">
        <v>18715</v>
      </c>
      <c r="L6" s="9"/>
      <c r="M6" s="9">
        <v>466</v>
      </c>
      <c r="N6" s="11"/>
    </row>
    <row r="7" spans="1:15" x14ac:dyDescent="0.3">
      <c r="A7" s="21">
        <v>174818</v>
      </c>
      <c r="B7" s="9"/>
      <c r="C7" s="25">
        <v>8366298</v>
      </c>
      <c r="D7" s="9"/>
      <c r="E7" s="9">
        <v>465</v>
      </c>
      <c r="F7" s="11"/>
      <c r="I7" s="8">
        <v>136257</v>
      </c>
      <c r="J7" s="9"/>
      <c r="K7" s="10">
        <v>18471</v>
      </c>
      <c r="L7" s="9"/>
      <c r="M7" s="9">
        <v>540</v>
      </c>
      <c r="N7" s="11"/>
    </row>
    <row r="8" spans="1:15" x14ac:dyDescent="0.3">
      <c r="A8" s="21">
        <v>175368</v>
      </c>
      <c r="B8" s="9"/>
      <c r="C8" s="25">
        <v>8365853</v>
      </c>
      <c r="D8" s="9"/>
      <c r="E8" s="9">
        <v>504</v>
      </c>
      <c r="F8" s="11"/>
      <c r="G8" s="2"/>
      <c r="I8" s="8">
        <v>137383</v>
      </c>
      <c r="J8" s="9"/>
      <c r="K8" s="10">
        <v>18585</v>
      </c>
      <c r="L8" s="9"/>
      <c r="M8" s="9">
        <v>457</v>
      </c>
      <c r="N8" s="11"/>
      <c r="O8" s="2"/>
    </row>
    <row r="9" spans="1:15" x14ac:dyDescent="0.3">
      <c r="A9" s="21">
        <v>175380</v>
      </c>
      <c r="B9" s="9"/>
      <c r="C9" s="25">
        <v>8365923</v>
      </c>
      <c r="D9" s="9"/>
      <c r="E9" s="9">
        <v>476</v>
      </c>
      <c r="F9" s="11"/>
      <c r="G9" s="2"/>
      <c r="I9" s="8">
        <v>136834</v>
      </c>
      <c r="J9" s="9"/>
      <c r="K9" s="10">
        <v>19214</v>
      </c>
      <c r="L9" s="9"/>
      <c r="M9" s="9">
        <v>486</v>
      </c>
      <c r="N9" s="11"/>
      <c r="O9" s="2"/>
    </row>
    <row r="10" spans="1:15" x14ac:dyDescent="0.3">
      <c r="A10" s="21">
        <v>175205</v>
      </c>
      <c r="B10" s="9"/>
      <c r="C10" s="25">
        <v>8366604</v>
      </c>
      <c r="D10" s="9"/>
      <c r="E10" s="9">
        <v>416</v>
      </c>
      <c r="F10" s="11"/>
      <c r="G10" s="2"/>
      <c r="I10" s="8">
        <v>137488</v>
      </c>
      <c r="J10" s="9"/>
      <c r="K10" s="10">
        <v>19013</v>
      </c>
      <c r="L10" s="9"/>
      <c r="M10" s="9">
        <v>452</v>
      </c>
      <c r="N10" s="11"/>
      <c r="O10" s="2"/>
    </row>
    <row r="11" spans="1:15" ht="15" thickBot="1" x14ac:dyDescent="0.35">
      <c r="A11" s="12">
        <v>175382</v>
      </c>
      <c r="B11" s="13"/>
      <c r="C11" s="26">
        <v>8367002</v>
      </c>
      <c r="D11" s="13"/>
      <c r="E11" s="13">
        <v>463</v>
      </c>
      <c r="F11" s="14"/>
      <c r="G11" s="2"/>
      <c r="I11" s="15">
        <v>137012</v>
      </c>
      <c r="J11" s="13"/>
      <c r="K11" s="16">
        <v>19907</v>
      </c>
      <c r="L11" s="13"/>
      <c r="M11" s="13">
        <v>520</v>
      </c>
      <c r="N11" s="14"/>
      <c r="O11" s="2"/>
    </row>
    <row r="12" spans="1:15" x14ac:dyDescent="0.3">
      <c r="A12" s="1">
        <f>AVERAGE(A2:A11)</f>
        <v>175134.5</v>
      </c>
      <c r="C12" s="1">
        <f>AVERAGE(C2:C11)</f>
        <v>8366574.7999999998</v>
      </c>
      <c r="E12" s="1">
        <f>AVERAGE(E2:E11)</f>
        <v>448</v>
      </c>
      <c r="G12" s="2"/>
      <c r="I12" s="1">
        <f>AVERAGE(I2:I11)</f>
        <v>137007.20000000001</v>
      </c>
      <c r="K12" s="1">
        <f>AVERAGE(K2:K11)</f>
        <v>19029.599999999999</v>
      </c>
      <c r="M12" s="1">
        <f>AVERAGE(M2:M11)</f>
        <v>483.7</v>
      </c>
      <c r="O12" s="2"/>
    </row>
    <row r="13" spans="1:15" ht="15" thickBot="1" x14ac:dyDescent="0.35"/>
    <row r="14" spans="1:15" x14ac:dyDescent="0.3">
      <c r="A14" s="20">
        <v>285120</v>
      </c>
      <c r="B14" s="5"/>
      <c r="C14" s="24">
        <v>8364970</v>
      </c>
      <c r="D14" s="5"/>
      <c r="E14" s="5">
        <v>408</v>
      </c>
      <c r="F14" s="7"/>
      <c r="G14" s="22" t="s">
        <v>6</v>
      </c>
      <c r="I14" s="17">
        <v>140167</v>
      </c>
      <c r="J14" s="5"/>
      <c r="K14" s="6">
        <v>130065</v>
      </c>
      <c r="L14" s="5"/>
      <c r="M14" s="5">
        <v>498</v>
      </c>
      <c r="N14" s="7"/>
      <c r="O14" s="2" t="s">
        <v>6</v>
      </c>
    </row>
    <row r="15" spans="1:15" x14ac:dyDescent="0.3">
      <c r="A15" s="21">
        <v>285624</v>
      </c>
      <c r="B15" s="9"/>
      <c r="C15" s="25">
        <v>8364586</v>
      </c>
      <c r="D15" s="9"/>
      <c r="E15" s="9">
        <v>452</v>
      </c>
      <c r="F15" s="11"/>
      <c r="G15" s="22"/>
      <c r="I15" s="18">
        <v>139228</v>
      </c>
      <c r="J15" s="9"/>
      <c r="K15" s="10">
        <v>130540</v>
      </c>
      <c r="L15" s="9"/>
      <c r="M15" s="9">
        <v>481</v>
      </c>
      <c r="N15" s="11"/>
      <c r="O15" s="2"/>
    </row>
    <row r="16" spans="1:15" x14ac:dyDescent="0.3">
      <c r="A16" s="21">
        <v>285289</v>
      </c>
      <c r="B16" s="9"/>
      <c r="C16" s="25">
        <v>8364036</v>
      </c>
      <c r="D16" s="9"/>
      <c r="E16" s="9">
        <v>400</v>
      </c>
      <c r="F16" s="11"/>
      <c r="G16" s="22"/>
      <c r="I16" s="18">
        <v>138112</v>
      </c>
      <c r="J16" s="9"/>
      <c r="K16" s="10">
        <v>129167</v>
      </c>
      <c r="L16" s="9"/>
      <c r="M16" s="9">
        <v>484</v>
      </c>
      <c r="N16" s="11"/>
      <c r="O16" s="2"/>
    </row>
    <row r="17" spans="1:15" x14ac:dyDescent="0.3">
      <c r="A17" s="21">
        <v>285686</v>
      </c>
      <c r="B17" s="9"/>
      <c r="C17" s="25">
        <v>8363846</v>
      </c>
      <c r="D17" s="9"/>
      <c r="E17" s="9">
        <v>442</v>
      </c>
      <c r="F17" s="11"/>
      <c r="G17" s="22"/>
      <c r="I17" s="18">
        <v>137747</v>
      </c>
      <c r="J17" s="9"/>
      <c r="K17" s="10">
        <v>130541</v>
      </c>
      <c r="L17" s="9"/>
      <c r="M17" s="9">
        <v>377</v>
      </c>
      <c r="N17" s="11"/>
      <c r="O17" s="2"/>
    </row>
    <row r="18" spans="1:15" x14ac:dyDescent="0.3">
      <c r="A18" s="21">
        <v>285156</v>
      </c>
      <c r="B18" s="9"/>
      <c r="C18" s="25">
        <v>8364060</v>
      </c>
      <c r="D18" s="9"/>
      <c r="E18" s="9">
        <v>495</v>
      </c>
      <c r="F18" s="11"/>
      <c r="G18" s="22"/>
      <c r="I18" s="18">
        <v>137762</v>
      </c>
      <c r="J18" s="9"/>
      <c r="K18" s="10">
        <v>130214</v>
      </c>
      <c r="L18" s="9"/>
      <c r="M18" s="9">
        <v>425</v>
      </c>
      <c r="N18" s="11"/>
      <c r="O18" s="2"/>
    </row>
    <row r="19" spans="1:15" x14ac:dyDescent="0.3">
      <c r="A19" s="21">
        <v>285234</v>
      </c>
      <c r="B19" s="9"/>
      <c r="C19" s="25">
        <v>8364670</v>
      </c>
      <c r="D19" s="9"/>
      <c r="E19" s="9">
        <v>393</v>
      </c>
      <c r="F19" s="11"/>
      <c r="G19" s="22"/>
      <c r="I19" s="18">
        <v>138923</v>
      </c>
      <c r="J19" s="9"/>
      <c r="K19" s="10">
        <v>129919</v>
      </c>
      <c r="L19" s="9"/>
      <c r="M19" s="9">
        <v>504</v>
      </c>
      <c r="N19" s="11"/>
      <c r="O19" s="2"/>
    </row>
    <row r="20" spans="1:15" x14ac:dyDescent="0.3">
      <c r="A20" s="21">
        <v>285407</v>
      </c>
      <c r="B20" s="9"/>
      <c r="C20" s="25">
        <v>8363573</v>
      </c>
      <c r="D20" s="9"/>
      <c r="E20" s="9">
        <v>448</v>
      </c>
      <c r="F20" s="11"/>
      <c r="G20" s="22"/>
      <c r="I20" s="18">
        <v>139232</v>
      </c>
      <c r="J20" s="9"/>
      <c r="K20" s="10">
        <v>131072</v>
      </c>
      <c r="L20" s="9"/>
      <c r="M20" s="9">
        <v>488</v>
      </c>
      <c r="N20" s="11"/>
      <c r="O20" s="2"/>
    </row>
    <row r="21" spans="1:15" x14ac:dyDescent="0.3">
      <c r="A21" s="21">
        <v>285382</v>
      </c>
      <c r="B21" s="9"/>
      <c r="C21" s="25">
        <v>8364663</v>
      </c>
      <c r="D21" s="9"/>
      <c r="E21" s="9">
        <v>424</v>
      </c>
      <c r="F21" s="11"/>
      <c r="G21" s="22"/>
      <c r="I21" s="18">
        <v>139955</v>
      </c>
      <c r="J21" s="9"/>
      <c r="K21" s="10">
        <v>130650</v>
      </c>
      <c r="L21" s="9"/>
      <c r="M21" s="9">
        <v>509</v>
      </c>
      <c r="N21" s="11"/>
      <c r="O21" s="2"/>
    </row>
    <row r="22" spans="1:15" x14ac:dyDescent="0.3">
      <c r="A22" s="21">
        <v>285095</v>
      </c>
      <c r="B22" s="9"/>
      <c r="C22" s="25">
        <v>8365377</v>
      </c>
      <c r="D22" s="9"/>
      <c r="E22" s="9">
        <v>361</v>
      </c>
      <c r="F22" s="11"/>
      <c r="G22" s="22"/>
      <c r="I22" s="18">
        <v>139990</v>
      </c>
      <c r="J22" s="9"/>
      <c r="K22" s="10">
        <v>130778</v>
      </c>
      <c r="L22" s="9"/>
      <c r="M22" s="9">
        <v>522</v>
      </c>
      <c r="N22" s="11"/>
      <c r="O22" s="2"/>
    </row>
    <row r="23" spans="1:15" ht="15" thickBot="1" x14ac:dyDescent="0.35">
      <c r="A23" s="12">
        <v>285041</v>
      </c>
      <c r="B23" s="13"/>
      <c r="C23" s="26">
        <v>8364879</v>
      </c>
      <c r="D23" s="13"/>
      <c r="E23" s="13">
        <v>399</v>
      </c>
      <c r="F23" s="14"/>
      <c r="G23" s="22"/>
      <c r="I23" s="19">
        <v>140475</v>
      </c>
      <c r="J23" s="13"/>
      <c r="K23" s="16">
        <v>130562</v>
      </c>
      <c r="L23" s="13"/>
      <c r="M23" s="13">
        <v>552</v>
      </c>
      <c r="N23" s="14"/>
      <c r="O23" s="2"/>
    </row>
    <row r="24" spans="1:15" ht="15" thickBot="1" x14ac:dyDescent="0.35">
      <c r="A24" s="1">
        <f>AVERAGE(A14:A23)</f>
        <v>285303.40000000002</v>
      </c>
      <c r="C24" s="1">
        <f>AVERAGE(C14:C23)</f>
        <v>8364466</v>
      </c>
      <c r="E24" s="1">
        <f>AVERAGE(E14:E23)</f>
        <v>422.2</v>
      </c>
      <c r="I24" s="1">
        <f>AVERAGE(I14:I23)</f>
        <v>139159.1</v>
      </c>
      <c r="K24" s="1">
        <f>AVERAGE(K14:K23)</f>
        <v>130350.8</v>
      </c>
      <c r="M24" s="1">
        <f>AVERAGE(M14:M23)</f>
        <v>484</v>
      </c>
    </row>
    <row r="25" spans="1:15" x14ac:dyDescent="0.3">
      <c r="A25" s="20">
        <v>394878</v>
      </c>
      <c r="B25" s="5"/>
      <c r="C25" s="5">
        <v>8362354</v>
      </c>
      <c r="D25" s="5"/>
      <c r="E25" s="5">
        <v>487</v>
      </c>
      <c r="F25" s="7"/>
      <c r="G25" s="2" t="s">
        <v>4</v>
      </c>
      <c r="I25" s="17">
        <v>143228</v>
      </c>
      <c r="J25" s="5"/>
      <c r="K25" s="6">
        <v>242548</v>
      </c>
      <c r="L25" s="5"/>
      <c r="M25" s="5">
        <v>476</v>
      </c>
      <c r="N25" s="7"/>
      <c r="O25" s="2" t="s">
        <v>4</v>
      </c>
    </row>
    <row r="26" spans="1:15" x14ac:dyDescent="0.3">
      <c r="A26" s="21">
        <v>395378</v>
      </c>
      <c r="B26" s="9"/>
      <c r="C26" s="9">
        <v>8362391</v>
      </c>
      <c r="D26" s="9"/>
      <c r="E26" s="9">
        <v>407</v>
      </c>
      <c r="F26" s="11"/>
      <c r="G26" s="2"/>
      <c r="I26" s="18">
        <v>141191</v>
      </c>
      <c r="J26" s="9"/>
      <c r="K26" s="10">
        <v>241219</v>
      </c>
      <c r="L26" s="9"/>
      <c r="M26" s="9">
        <v>447</v>
      </c>
      <c r="N26" s="11"/>
      <c r="O26" s="2"/>
    </row>
    <row r="27" spans="1:15" x14ac:dyDescent="0.3">
      <c r="A27" s="21">
        <v>394640</v>
      </c>
      <c r="B27" s="9"/>
      <c r="C27" s="9">
        <v>8361670</v>
      </c>
      <c r="D27" s="9"/>
      <c r="E27" s="9">
        <v>437</v>
      </c>
      <c r="F27" s="11"/>
      <c r="G27" s="2"/>
      <c r="I27" s="18">
        <v>141120</v>
      </c>
      <c r="J27" s="9"/>
      <c r="K27" s="10">
        <v>242147</v>
      </c>
      <c r="L27" s="9"/>
      <c r="M27" s="9">
        <v>485</v>
      </c>
      <c r="N27" s="11"/>
      <c r="O27" s="2"/>
    </row>
    <row r="28" spans="1:15" x14ac:dyDescent="0.3">
      <c r="A28" s="21">
        <v>394976</v>
      </c>
      <c r="B28" s="9"/>
      <c r="C28" s="9">
        <v>8363287</v>
      </c>
      <c r="D28" s="9"/>
      <c r="E28" s="9">
        <v>465</v>
      </c>
      <c r="F28" s="11"/>
      <c r="G28" s="2"/>
      <c r="I28" s="18">
        <v>140533</v>
      </c>
      <c r="J28" s="9"/>
      <c r="K28" s="10">
        <v>242199</v>
      </c>
      <c r="L28" s="9"/>
      <c r="M28" s="9">
        <v>532</v>
      </c>
      <c r="N28" s="11"/>
      <c r="O28" s="2"/>
    </row>
    <row r="29" spans="1:15" x14ac:dyDescent="0.3">
      <c r="A29" s="21">
        <v>395033</v>
      </c>
      <c r="B29" s="9"/>
      <c r="C29" s="9">
        <v>8361809</v>
      </c>
      <c r="D29" s="9"/>
      <c r="E29" s="9">
        <v>435</v>
      </c>
      <c r="F29" s="11"/>
      <c r="G29" s="2"/>
      <c r="I29" s="18">
        <v>141312</v>
      </c>
      <c r="J29" s="9"/>
      <c r="K29" s="10">
        <v>241634</v>
      </c>
      <c r="L29" s="9"/>
      <c r="M29" s="9">
        <v>478</v>
      </c>
      <c r="N29" s="11"/>
      <c r="O29" s="2"/>
    </row>
    <row r="30" spans="1:15" x14ac:dyDescent="0.3">
      <c r="A30" s="21">
        <v>394533</v>
      </c>
      <c r="B30" s="9"/>
      <c r="C30" s="9">
        <v>8362210</v>
      </c>
      <c r="D30" s="9"/>
      <c r="E30" s="9">
        <v>484</v>
      </c>
      <c r="F30" s="11"/>
      <c r="G30" s="2"/>
      <c r="I30" s="18">
        <v>140023</v>
      </c>
      <c r="J30" s="9"/>
      <c r="K30" s="10">
        <v>241491</v>
      </c>
      <c r="L30" s="9"/>
      <c r="M30" s="9">
        <v>381</v>
      </c>
      <c r="N30" s="11"/>
      <c r="O30" s="2"/>
    </row>
    <row r="31" spans="1:15" x14ac:dyDescent="0.3">
      <c r="A31" s="21">
        <v>394819</v>
      </c>
      <c r="B31" s="9"/>
      <c r="C31" s="9">
        <v>8363098</v>
      </c>
      <c r="D31" s="9"/>
      <c r="E31" s="9">
        <v>425</v>
      </c>
      <c r="F31" s="11"/>
      <c r="G31" s="2"/>
      <c r="I31" s="18">
        <v>140513</v>
      </c>
      <c r="J31" s="9"/>
      <c r="K31" s="10">
        <v>241858</v>
      </c>
      <c r="L31" s="9"/>
      <c r="M31" s="9">
        <v>453</v>
      </c>
      <c r="N31" s="11"/>
      <c r="O31" s="2"/>
    </row>
    <row r="32" spans="1:15" x14ac:dyDescent="0.3">
      <c r="A32" s="21">
        <v>394879</v>
      </c>
      <c r="B32" s="9"/>
      <c r="C32" s="9">
        <v>8362031</v>
      </c>
      <c r="D32" s="9"/>
      <c r="E32" s="9">
        <v>469</v>
      </c>
      <c r="F32" s="11"/>
      <c r="G32" s="2"/>
      <c r="I32" s="18">
        <v>141984</v>
      </c>
      <c r="J32" s="9"/>
      <c r="K32" s="10">
        <v>242725</v>
      </c>
      <c r="L32" s="9"/>
      <c r="M32" s="9">
        <v>451</v>
      </c>
      <c r="N32" s="11"/>
      <c r="O32" s="2"/>
    </row>
    <row r="33" spans="1:15" x14ac:dyDescent="0.3">
      <c r="A33" s="21">
        <v>394818</v>
      </c>
      <c r="B33" s="9"/>
      <c r="C33" s="9">
        <v>8361526</v>
      </c>
      <c r="D33" s="9"/>
      <c r="E33" s="9">
        <v>444</v>
      </c>
      <c r="F33" s="11"/>
      <c r="G33" s="2"/>
      <c r="I33" s="18">
        <v>142638</v>
      </c>
      <c r="J33" s="9"/>
      <c r="K33" s="10">
        <v>241691</v>
      </c>
      <c r="L33" s="9"/>
      <c r="M33" s="9">
        <v>535</v>
      </c>
      <c r="N33" s="11"/>
      <c r="O33" s="2"/>
    </row>
    <row r="34" spans="1:15" ht="15" thickBot="1" x14ac:dyDescent="0.35">
      <c r="A34" s="12">
        <v>394657</v>
      </c>
      <c r="B34" s="13"/>
      <c r="C34" s="13">
        <v>8361978</v>
      </c>
      <c r="D34" s="13"/>
      <c r="E34" s="13">
        <v>499</v>
      </c>
      <c r="F34" s="14"/>
      <c r="G34" s="2"/>
      <c r="I34" s="19">
        <v>143013</v>
      </c>
      <c r="J34" s="13"/>
      <c r="K34" s="16">
        <v>241704</v>
      </c>
      <c r="L34" s="13"/>
      <c r="M34" s="13">
        <v>462</v>
      </c>
      <c r="N34" s="14"/>
      <c r="O34" s="2"/>
    </row>
    <row r="35" spans="1:15" ht="15" thickBot="1" x14ac:dyDescent="0.35">
      <c r="A35" s="1">
        <f>AVERAGE(A25:A34)</f>
        <v>394861.1</v>
      </c>
      <c r="C35" s="1">
        <f>AVERAGE(C25:C34)</f>
        <v>8362235.4000000004</v>
      </c>
      <c r="E35" s="1">
        <f>AVERAGE(E25:E34)</f>
        <v>455.2</v>
      </c>
      <c r="I35" s="1">
        <f>AVERAGE(I25:I34)</f>
        <v>141555.5</v>
      </c>
      <c r="K35" s="1">
        <f>AVERAGE(K25:K34)</f>
        <v>241921.6</v>
      </c>
      <c r="M35" s="1">
        <f>AVERAGE(M25:M34)</f>
        <v>470</v>
      </c>
    </row>
    <row r="36" spans="1:15" x14ac:dyDescent="0.3">
      <c r="A36" s="20">
        <v>504583</v>
      </c>
      <c r="B36" s="5"/>
      <c r="C36" s="5">
        <v>8360618</v>
      </c>
      <c r="D36" s="5"/>
      <c r="E36" s="5">
        <v>486</v>
      </c>
      <c r="F36" s="7"/>
      <c r="I36" s="4">
        <v>145380</v>
      </c>
      <c r="J36" s="5"/>
      <c r="K36" s="6">
        <v>353380</v>
      </c>
      <c r="L36" s="5"/>
      <c r="M36" s="5">
        <v>532</v>
      </c>
      <c r="N36" s="7"/>
    </row>
    <row r="37" spans="1:15" x14ac:dyDescent="0.3">
      <c r="A37" s="21">
        <v>504858</v>
      </c>
      <c r="B37" s="9"/>
      <c r="C37" s="9">
        <v>8360639</v>
      </c>
      <c r="D37" s="9"/>
      <c r="E37" s="9">
        <v>465</v>
      </c>
      <c r="F37" s="11"/>
      <c r="I37" s="8">
        <v>143976</v>
      </c>
      <c r="J37" s="9"/>
      <c r="K37" s="10">
        <v>354539</v>
      </c>
      <c r="L37" s="9"/>
      <c r="M37" s="9">
        <v>436</v>
      </c>
      <c r="N37" s="11"/>
    </row>
    <row r="38" spans="1:15" x14ac:dyDescent="0.3">
      <c r="A38" s="21">
        <v>504738</v>
      </c>
      <c r="B38" s="9"/>
      <c r="C38" s="9">
        <v>8360962</v>
      </c>
      <c r="D38" s="9"/>
      <c r="E38" s="9">
        <v>364</v>
      </c>
      <c r="F38" s="11"/>
      <c r="I38" s="8">
        <v>143063</v>
      </c>
      <c r="J38" s="9"/>
      <c r="K38" s="10">
        <v>353669</v>
      </c>
      <c r="L38" s="9"/>
      <c r="M38" s="9">
        <v>412</v>
      </c>
      <c r="N38" s="11"/>
    </row>
    <row r="39" spans="1:15" x14ac:dyDescent="0.3">
      <c r="A39" s="21">
        <v>505239</v>
      </c>
      <c r="B39" s="9"/>
      <c r="C39" s="9">
        <v>8360567</v>
      </c>
      <c r="D39" s="9"/>
      <c r="E39" s="9">
        <v>494</v>
      </c>
      <c r="F39" s="11"/>
      <c r="I39" s="8">
        <v>141394</v>
      </c>
      <c r="J39" s="9"/>
      <c r="K39" s="10">
        <v>353994</v>
      </c>
      <c r="L39" s="9"/>
      <c r="M39" s="9">
        <v>457</v>
      </c>
      <c r="N39" s="11"/>
    </row>
    <row r="40" spans="1:15" x14ac:dyDescent="0.3">
      <c r="A40" s="21">
        <v>504963</v>
      </c>
      <c r="B40" s="9"/>
      <c r="C40" s="9">
        <v>8360718</v>
      </c>
      <c r="D40" s="9"/>
      <c r="E40" s="9">
        <v>448</v>
      </c>
      <c r="F40" s="11"/>
      <c r="G40" s="2" t="s">
        <v>7</v>
      </c>
      <c r="I40" s="8">
        <v>141867</v>
      </c>
      <c r="J40" s="9"/>
      <c r="K40" s="10">
        <v>353341</v>
      </c>
      <c r="L40" s="9"/>
      <c r="M40" s="9">
        <v>421</v>
      </c>
      <c r="N40" s="11"/>
      <c r="O40" s="2" t="s">
        <v>7</v>
      </c>
    </row>
    <row r="41" spans="1:15" x14ac:dyDescent="0.3">
      <c r="A41" s="21">
        <v>504913</v>
      </c>
      <c r="B41" s="9"/>
      <c r="C41" s="9">
        <v>8360509</v>
      </c>
      <c r="D41" s="9"/>
      <c r="E41" s="9">
        <v>441</v>
      </c>
      <c r="F41" s="11"/>
      <c r="G41" s="2"/>
      <c r="I41" s="8">
        <v>141348</v>
      </c>
      <c r="J41" s="9"/>
      <c r="K41" s="10">
        <v>353725</v>
      </c>
      <c r="L41" s="9"/>
      <c r="M41" s="9">
        <v>506</v>
      </c>
      <c r="N41" s="11"/>
      <c r="O41" s="2"/>
    </row>
    <row r="42" spans="1:15" x14ac:dyDescent="0.3">
      <c r="A42" s="21">
        <v>504967</v>
      </c>
      <c r="B42" s="9"/>
      <c r="C42" s="9">
        <v>8360829</v>
      </c>
      <c r="D42" s="9"/>
      <c r="E42" s="9">
        <v>486</v>
      </c>
      <c r="F42" s="11"/>
      <c r="G42" s="2"/>
      <c r="I42" s="8">
        <v>142495</v>
      </c>
      <c r="J42" s="9"/>
      <c r="K42" s="10">
        <v>353449</v>
      </c>
      <c r="L42" s="9"/>
      <c r="M42" s="9">
        <v>500</v>
      </c>
      <c r="N42" s="11"/>
      <c r="O42" s="2"/>
    </row>
    <row r="43" spans="1:15" x14ac:dyDescent="0.3">
      <c r="A43" s="21">
        <v>505250</v>
      </c>
      <c r="B43" s="9"/>
      <c r="C43" s="9">
        <v>8360260</v>
      </c>
      <c r="D43" s="9"/>
      <c r="E43" s="9">
        <v>492</v>
      </c>
      <c r="F43" s="11"/>
      <c r="G43" s="2"/>
      <c r="I43" s="8">
        <v>143027</v>
      </c>
      <c r="J43" s="9"/>
      <c r="K43" s="10">
        <v>353972</v>
      </c>
      <c r="L43" s="9"/>
      <c r="M43" s="9">
        <v>422</v>
      </c>
      <c r="N43" s="11"/>
      <c r="O43" s="2"/>
    </row>
    <row r="44" spans="1:15" x14ac:dyDescent="0.3">
      <c r="A44" s="21">
        <v>504613</v>
      </c>
      <c r="B44" s="9"/>
      <c r="C44" s="9">
        <v>8361335</v>
      </c>
      <c r="D44" s="9"/>
      <c r="E44" s="9">
        <v>481</v>
      </c>
      <c r="F44" s="11"/>
      <c r="G44" s="2"/>
      <c r="I44" s="8">
        <v>145093</v>
      </c>
      <c r="J44" s="9"/>
      <c r="K44" s="10">
        <v>353168</v>
      </c>
      <c r="L44" s="9"/>
      <c r="M44" s="9">
        <v>446</v>
      </c>
      <c r="N44" s="11"/>
      <c r="O44" s="2"/>
    </row>
    <row r="45" spans="1:15" ht="15" thickBot="1" x14ac:dyDescent="0.35">
      <c r="A45" s="12">
        <v>504773</v>
      </c>
      <c r="B45" s="13"/>
      <c r="C45" s="13">
        <v>8360140</v>
      </c>
      <c r="D45" s="13"/>
      <c r="E45" s="13">
        <v>428</v>
      </c>
      <c r="F45" s="14"/>
      <c r="I45" s="15">
        <v>146479</v>
      </c>
      <c r="J45" s="13"/>
      <c r="K45" s="16">
        <v>353364</v>
      </c>
      <c r="L45" s="13"/>
      <c r="M45" s="13">
        <v>452</v>
      </c>
      <c r="N45" s="14"/>
    </row>
    <row r="46" spans="1:15" ht="15" thickBot="1" x14ac:dyDescent="0.35">
      <c r="A46" s="1">
        <f>AVERAGE(A36:A45)</f>
        <v>504889.7</v>
      </c>
      <c r="C46" s="1">
        <f>AVERAGE(C36:C45)</f>
        <v>8360657.7000000002</v>
      </c>
      <c r="E46" s="1">
        <f>AVERAGE(E36:E45)</f>
        <v>458.5</v>
      </c>
      <c r="I46" s="1">
        <f>AVERAGE(I36:I45)</f>
        <v>143412.20000000001</v>
      </c>
      <c r="K46" s="1">
        <f>AVERAGE(K36:K45)</f>
        <v>353660.1</v>
      </c>
      <c r="M46" s="1">
        <f>AVERAGE(M36:M45)</f>
        <v>458.4</v>
      </c>
    </row>
    <row r="47" spans="1:15" x14ac:dyDescent="0.3">
      <c r="A47" s="20">
        <v>614664</v>
      </c>
      <c r="B47" s="5"/>
      <c r="C47" s="5">
        <v>8357831</v>
      </c>
      <c r="D47" s="5"/>
      <c r="E47" s="5">
        <v>400</v>
      </c>
      <c r="F47" s="7"/>
      <c r="I47" s="17">
        <v>145286</v>
      </c>
      <c r="J47" s="5"/>
      <c r="K47" s="5">
        <v>466139</v>
      </c>
      <c r="L47" s="5"/>
      <c r="M47" s="5">
        <v>496</v>
      </c>
      <c r="N47" s="7"/>
    </row>
    <row r="48" spans="1:15" x14ac:dyDescent="0.3">
      <c r="A48" s="21">
        <v>615404</v>
      </c>
      <c r="B48" s="9"/>
      <c r="C48" s="9">
        <v>8358637</v>
      </c>
      <c r="D48" s="9"/>
      <c r="E48" s="9">
        <v>387</v>
      </c>
      <c r="F48" s="11"/>
      <c r="I48" s="21">
        <v>146268</v>
      </c>
      <c r="J48" s="9"/>
      <c r="K48" s="9">
        <v>465891</v>
      </c>
      <c r="L48" s="9"/>
      <c r="M48" s="9">
        <v>390</v>
      </c>
      <c r="N48" s="11"/>
    </row>
    <row r="49" spans="1:15" x14ac:dyDescent="0.3">
      <c r="A49" s="21">
        <v>614984</v>
      </c>
      <c r="B49" s="9"/>
      <c r="C49" s="9">
        <v>8357954</v>
      </c>
      <c r="D49" s="9"/>
      <c r="E49" s="9">
        <v>412</v>
      </c>
      <c r="F49" s="11"/>
      <c r="I49" s="21">
        <v>146425</v>
      </c>
      <c r="J49" s="9"/>
      <c r="K49" s="9">
        <v>466275</v>
      </c>
      <c r="L49" s="9"/>
      <c r="M49" s="9">
        <v>485</v>
      </c>
      <c r="N49" s="11"/>
    </row>
    <row r="50" spans="1:15" x14ac:dyDescent="0.3">
      <c r="A50" s="21">
        <v>615750</v>
      </c>
      <c r="B50" s="9"/>
      <c r="C50" s="9">
        <v>8358318</v>
      </c>
      <c r="D50" s="9"/>
      <c r="E50" s="9">
        <v>515</v>
      </c>
      <c r="F50" s="11"/>
      <c r="G50" s="2" t="s">
        <v>5</v>
      </c>
      <c r="I50" s="21">
        <v>147486</v>
      </c>
      <c r="J50" s="9"/>
      <c r="K50" s="9">
        <v>466144</v>
      </c>
      <c r="L50" s="9"/>
      <c r="M50" s="9">
        <v>457</v>
      </c>
      <c r="N50" s="11"/>
      <c r="O50" s="2" t="s">
        <v>5</v>
      </c>
    </row>
    <row r="51" spans="1:15" x14ac:dyDescent="0.3">
      <c r="A51" s="21">
        <v>615749</v>
      </c>
      <c r="B51" s="9"/>
      <c r="C51" s="9">
        <v>8358985</v>
      </c>
      <c r="D51" s="9"/>
      <c r="E51" s="9">
        <v>434</v>
      </c>
      <c r="F51" s="11"/>
      <c r="G51" s="2"/>
      <c r="I51" s="21">
        <v>147207</v>
      </c>
      <c r="J51" s="9"/>
      <c r="K51" s="9">
        <v>466060</v>
      </c>
      <c r="L51" s="9"/>
      <c r="M51" s="9">
        <v>416</v>
      </c>
      <c r="N51" s="11"/>
      <c r="O51" s="2"/>
    </row>
    <row r="52" spans="1:15" x14ac:dyDescent="0.3">
      <c r="A52" s="21">
        <v>615782</v>
      </c>
      <c r="B52" s="9"/>
      <c r="C52" s="9">
        <v>8359106</v>
      </c>
      <c r="D52" s="9"/>
      <c r="E52" s="9">
        <v>411</v>
      </c>
      <c r="F52" s="11"/>
      <c r="G52" s="2"/>
      <c r="I52" s="21">
        <v>147156</v>
      </c>
      <c r="J52" s="9"/>
      <c r="K52" s="9">
        <v>465857</v>
      </c>
      <c r="L52" s="9"/>
      <c r="M52" s="9">
        <v>414</v>
      </c>
      <c r="N52" s="11"/>
      <c r="O52" s="2"/>
    </row>
    <row r="53" spans="1:15" x14ac:dyDescent="0.3">
      <c r="A53" s="21">
        <v>615629</v>
      </c>
      <c r="B53" s="9"/>
      <c r="C53" s="9">
        <v>8358767</v>
      </c>
      <c r="D53" s="9"/>
      <c r="E53" s="9">
        <v>413</v>
      </c>
      <c r="F53" s="11"/>
      <c r="G53" s="2"/>
      <c r="I53" s="21">
        <v>145982</v>
      </c>
      <c r="J53" s="9"/>
      <c r="K53" s="9">
        <v>465950</v>
      </c>
      <c r="L53" s="9"/>
      <c r="M53" s="9">
        <v>493</v>
      </c>
      <c r="N53" s="11"/>
      <c r="O53" s="2"/>
    </row>
    <row r="54" spans="1:15" x14ac:dyDescent="0.3">
      <c r="A54" s="21">
        <v>615403</v>
      </c>
      <c r="B54" s="9"/>
      <c r="C54" s="9">
        <v>8359322</v>
      </c>
      <c r="D54" s="9"/>
      <c r="E54" s="9">
        <v>423</v>
      </c>
      <c r="F54" s="11"/>
      <c r="G54" s="2"/>
      <c r="I54" s="21">
        <v>145768</v>
      </c>
      <c r="J54" s="9"/>
      <c r="K54" s="9">
        <v>464888</v>
      </c>
      <c r="L54" s="9"/>
      <c r="M54" s="9">
        <v>339</v>
      </c>
      <c r="N54" s="11"/>
      <c r="O54" s="2"/>
    </row>
    <row r="55" spans="1:15" x14ac:dyDescent="0.3">
      <c r="A55" s="21">
        <v>614844</v>
      </c>
      <c r="B55" s="9"/>
      <c r="C55" s="9">
        <v>8359244</v>
      </c>
      <c r="D55" s="9"/>
      <c r="E55" s="9">
        <v>463</v>
      </c>
      <c r="F55" s="11"/>
      <c r="I55" s="21">
        <v>144782</v>
      </c>
      <c r="J55" s="9"/>
      <c r="K55" s="9">
        <v>465423</v>
      </c>
      <c r="L55" s="9"/>
      <c r="M55" s="9">
        <v>441</v>
      </c>
      <c r="N55" s="11"/>
    </row>
    <row r="56" spans="1:15" ht="15" thickBot="1" x14ac:dyDescent="0.35">
      <c r="A56" s="12">
        <v>614857</v>
      </c>
      <c r="B56" s="13"/>
      <c r="C56" s="13">
        <v>8359776</v>
      </c>
      <c r="D56" s="13"/>
      <c r="E56" s="13">
        <v>430</v>
      </c>
      <c r="F56" s="14"/>
      <c r="I56" s="12">
        <v>144514</v>
      </c>
      <c r="J56" s="13"/>
      <c r="K56" s="13">
        <v>464474</v>
      </c>
      <c r="L56" s="13"/>
      <c r="M56" s="13">
        <v>498</v>
      </c>
      <c r="N56" s="14"/>
    </row>
    <row r="57" spans="1:15" ht="15" thickBot="1" x14ac:dyDescent="0.35">
      <c r="A57" s="1">
        <f>AVERAGE(A47:A56)</f>
        <v>615306.6</v>
      </c>
      <c r="C57" s="1">
        <f>AVERAGE(C47:C56)</f>
        <v>8358794</v>
      </c>
      <c r="E57" s="1">
        <f>AVERAGE(E47:E56)</f>
        <v>428.8</v>
      </c>
      <c r="I57" s="1">
        <f>AVERAGE(I47:I56)</f>
        <v>146087.4</v>
      </c>
      <c r="K57" s="1">
        <f>AVERAGE(K47:K56)</f>
        <v>465710.1</v>
      </c>
      <c r="M57" s="1">
        <f>AVERAGE(M47:M56)</f>
        <v>442.9</v>
      </c>
    </row>
    <row r="58" spans="1:15" x14ac:dyDescent="0.3">
      <c r="A58" s="17"/>
      <c r="B58" s="5"/>
      <c r="C58" s="5"/>
      <c r="D58" s="5"/>
      <c r="E58" s="5"/>
      <c r="F58" s="7"/>
      <c r="I58" s="17"/>
      <c r="J58" s="5"/>
      <c r="K58" s="5"/>
      <c r="L58" s="5"/>
      <c r="M58" s="5"/>
      <c r="N58" s="7"/>
    </row>
    <row r="59" spans="1:15" x14ac:dyDescent="0.3">
      <c r="A59" s="18"/>
      <c r="B59" s="9"/>
      <c r="C59" s="9"/>
      <c r="D59" s="9"/>
      <c r="E59" s="9"/>
      <c r="F59" s="11"/>
      <c r="I59" s="18"/>
      <c r="J59" s="9"/>
      <c r="K59" s="9"/>
      <c r="L59" s="9"/>
      <c r="M59" s="9"/>
      <c r="N59" s="11"/>
    </row>
    <row r="60" spans="1:15" x14ac:dyDescent="0.3">
      <c r="A60" s="21"/>
      <c r="B60" s="9"/>
      <c r="C60" s="9"/>
      <c r="D60" s="9"/>
      <c r="E60" s="9"/>
      <c r="F60" s="11"/>
      <c r="I60" s="21"/>
      <c r="J60" s="9"/>
      <c r="K60" s="9"/>
      <c r="L60" s="9"/>
      <c r="M60" s="9"/>
      <c r="N60" s="11"/>
    </row>
    <row r="61" spans="1:15" x14ac:dyDescent="0.3">
      <c r="A61" s="21"/>
      <c r="B61" s="9"/>
      <c r="C61" s="9"/>
      <c r="D61" s="9"/>
      <c r="E61" s="9"/>
      <c r="F61" s="11"/>
      <c r="I61" s="21"/>
      <c r="J61" s="9"/>
      <c r="K61" s="9"/>
      <c r="L61" s="9"/>
      <c r="M61" s="9"/>
      <c r="N61" s="11"/>
    </row>
    <row r="62" spans="1:15" x14ac:dyDescent="0.3">
      <c r="A62" s="21"/>
      <c r="B62" s="9"/>
      <c r="C62" s="9"/>
      <c r="D62" s="9"/>
      <c r="E62" s="9"/>
      <c r="F62" s="11"/>
      <c r="G62" s="2" t="s">
        <v>8</v>
      </c>
      <c r="I62" s="21"/>
      <c r="J62" s="9"/>
      <c r="K62" s="9"/>
      <c r="L62" s="9"/>
      <c r="M62" s="9"/>
      <c r="N62" s="11"/>
      <c r="O62" s="2" t="s">
        <v>8</v>
      </c>
    </row>
    <row r="63" spans="1:15" x14ac:dyDescent="0.3">
      <c r="A63" s="21"/>
      <c r="B63" s="9"/>
      <c r="C63" s="9"/>
      <c r="D63" s="9"/>
      <c r="E63" s="9"/>
      <c r="F63" s="11"/>
      <c r="G63" s="2"/>
      <c r="I63" s="21"/>
      <c r="J63" s="9"/>
      <c r="K63" s="9"/>
      <c r="L63" s="9"/>
      <c r="M63" s="9"/>
      <c r="N63" s="11"/>
      <c r="O63" s="2"/>
    </row>
    <row r="64" spans="1:15" x14ac:dyDescent="0.3">
      <c r="A64" s="21"/>
      <c r="B64" s="9"/>
      <c r="C64" s="9"/>
      <c r="D64" s="9"/>
      <c r="E64" s="9"/>
      <c r="F64" s="11"/>
      <c r="G64" s="2"/>
      <c r="I64" s="21"/>
      <c r="J64" s="9"/>
      <c r="K64" s="9"/>
      <c r="L64" s="9"/>
      <c r="M64" s="9"/>
      <c r="N64" s="11"/>
      <c r="O64" s="2"/>
    </row>
    <row r="65" spans="1:15" x14ac:dyDescent="0.3">
      <c r="A65" s="21"/>
      <c r="B65" s="9"/>
      <c r="C65" s="9"/>
      <c r="D65" s="9"/>
      <c r="E65" s="9"/>
      <c r="F65" s="11"/>
      <c r="G65" s="2"/>
      <c r="I65" s="21"/>
      <c r="J65" s="9"/>
      <c r="K65" s="9"/>
      <c r="L65" s="9"/>
      <c r="M65" s="9"/>
      <c r="N65" s="11"/>
      <c r="O65" s="2"/>
    </row>
    <row r="66" spans="1:15" x14ac:dyDescent="0.3">
      <c r="A66" s="21"/>
      <c r="B66" s="9"/>
      <c r="C66" s="9"/>
      <c r="D66" s="9"/>
      <c r="E66" s="9"/>
      <c r="F66" s="11"/>
      <c r="G66" s="2"/>
      <c r="I66" s="21"/>
      <c r="J66" s="9"/>
      <c r="K66" s="9"/>
      <c r="L66" s="9"/>
      <c r="M66" s="9"/>
      <c r="N66" s="11"/>
      <c r="O66" s="2"/>
    </row>
    <row r="67" spans="1:15" ht="15" thickBot="1" x14ac:dyDescent="0.35">
      <c r="A67" s="12"/>
      <c r="B67" s="13"/>
      <c r="C67" s="13"/>
      <c r="D67" s="13"/>
      <c r="E67" s="13"/>
      <c r="F67" s="14"/>
      <c r="I67" s="12"/>
      <c r="J67" s="13"/>
      <c r="K67" s="13"/>
      <c r="L67" s="13"/>
      <c r="M67" s="13"/>
      <c r="N67" s="14"/>
    </row>
    <row r="68" spans="1:15" ht="15" thickBot="1" x14ac:dyDescent="0.35">
      <c r="A68" s="1"/>
      <c r="I68" s="1"/>
    </row>
    <row r="69" spans="1:15" x14ac:dyDescent="0.3">
      <c r="A69" s="20"/>
      <c r="B69" s="5"/>
      <c r="C69" s="5"/>
      <c r="D69" s="5"/>
      <c r="E69" s="5"/>
      <c r="F69" s="7"/>
      <c r="I69" s="20"/>
      <c r="J69" s="5"/>
      <c r="K69" s="5"/>
      <c r="L69" s="5"/>
      <c r="M69" s="5"/>
      <c r="N69" s="7"/>
    </row>
    <row r="70" spans="1:15" x14ac:dyDescent="0.3">
      <c r="A70" s="18"/>
      <c r="B70" s="9"/>
      <c r="C70" s="9"/>
      <c r="D70" s="9"/>
      <c r="E70" s="9"/>
      <c r="F70" s="11"/>
      <c r="I70" s="18"/>
      <c r="J70" s="9"/>
      <c r="K70" s="9"/>
      <c r="L70" s="9"/>
      <c r="M70" s="9"/>
      <c r="N70" s="11"/>
    </row>
    <row r="71" spans="1:15" x14ac:dyDescent="0.3">
      <c r="A71" s="18"/>
      <c r="B71" s="9"/>
      <c r="C71" s="9"/>
      <c r="D71" s="9"/>
      <c r="E71" s="9"/>
      <c r="F71" s="11"/>
      <c r="I71" s="18"/>
      <c r="J71" s="9"/>
      <c r="K71" s="9"/>
      <c r="L71" s="9"/>
      <c r="M71" s="9"/>
      <c r="N71" s="11"/>
    </row>
    <row r="72" spans="1:15" x14ac:dyDescent="0.3">
      <c r="A72" s="18"/>
      <c r="B72" s="9"/>
      <c r="C72" s="9"/>
      <c r="D72" s="9"/>
      <c r="E72" s="9"/>
      <c r="F72" s="11"/>
      <c r="G72" s="22" t="s">
        <v>9</v>
      </c>
      <c r="I72" s="18"/>
      <c r="J72" s="9"/>
      <c r="K72" s="9"/>
      <c r="L72" s="9"/>
      <c r="M72" s="9"/>
      <c r="N72" s="11"/>
      <c r="O72" s="22" t="s">
        <v>9</v>
      </c>
    </row>
    <row r="73" spans="1:15" x14ac:dyDescent="0.3">
      <c r="A73" s="18"/>
      <c r="B73" s="9"/>
      <c r="C73" s="9"/>
      <c r="D73" s="9"/>
      <c r="E73" s="9"/>
      <c r="F73" s="11"/>
      <c r="G73" s="22"/>
      <c r="I73" s="18"/>
      <c r="J73" s="9"/>
      <c r="K73" s="9"/>
      <c r="L73" s="9"/>
      <c r="M73" s="9"/>
      <c r="N73" s="11"/>
      <c r="O73" s="22"/>
    </row>
    <row r="74" spans="1:15" x14ac:dyDescent="0.3">
      <c r="A74" s="18"/>
      <c r="B74" s="9"/>
      <c r="C74" s="9"/>
      <c r="D74" s="9"/>
      <c r="E74" s="9"/>
      <c r="F74" s="11"/>
      <c r="G74" s="22"/>
      <c r="I74" s="18"/>
      <c r="J74" s="9"/>
      <c r="K74" s="9"/>
      <c r="L74" s="9"/>
      <c r="M74" s="9"/>
      <c r="N74" s="11"/>
      <c r="O74" s="22"/>
    </row>
    <row r="75" spans="1:15" x14ac:dyDescent="0.3">
      <c r="A75" s="18"/>
      <c r="B75" s="9"/>
      <c r="C75" s="9"/>
      <c r="D75" s="9"/>
      <c r="E75" s="9"/>
      <c r="F75" s="11"/>
      <c r="G75" s="22"/>
      <c r="I75" s="18"/>
      <c r="J75" s="9"/>
      <c r="K75" s="9"/>
      <c r="L75" s="9"/>
      <c r="M75" s="9"/>
      <c r="N75" s="11"/>
      <c r="O75" s="22"/>
    </row>
    <row r="76" spans="1:15" x14ac:dyDescent="0.3">
      <c r="A76" s="18"/>
      <c r="B76" s="9"/>
      <c r="C76" s="9"/>
      <c r="D76" s="9"/>
      <c r="E76" s="9"/>
      <c r="F76" s="11"/>
      <c r="G76" s="22"/>
      <c r="I76" s="18"/>
      <c r="J76" s="9"/>
      <c r="K76" s="9"/>
      <c r="L76" s="9"/>
      <c r="M76" s="9"/>
      <c r="N76" s="11"/>
      <c r="O76" s="22"/>
    </row>
    <row r="77" spans="1:15" x14ac:dyDescent="0.3">
      <c r="A77" s="18"/>
      <c r="B77" s="9"/>
      <c r="C77" s="9"/>
      <c r="D77" s="9"/>
      <c r="E77" s="9"/>
      <c r="F77" s="11"/>
      <c r="I77" s="18"/>
      <c r="J77" s="9"/>
      <c r="K77" s="9"/>
      <c r="L77" s="9"/>
      <c r="M77" s="9"/>
      <c r="N77" s="11"/>
    </row>
    <row r="78" spans="1:15" ht="15" thickBot="1" x14ac:dyDescent="0.35">
      <c r="A78" s="19"/>
      <c r="B78" s="13"/>
      <c r="C78" s="13"/>
      <c r="D78" s="13"/>
      <c r="E78" s="13"/>
      <c r="F78" s="14"/>
      <c r="I78" s="19"/>
      <c r="J78" s="13"/>
      <c r="K78" s="13"/>
      <c r="L78" s="13"/>
      <c r="M78" s="13"/>
      <c r="N78" s="14"/>
    </row>
    <row r="91" spans="12:17" x14ac:dyDescent="0.3">
      <c r="L91" s="27" t="s">
        <v>10</v>
      </c>
      <c r="M91" s="27" t="s">
        <v>11</v>
      </c>
      <c r="P91" s="27" t="s">
        <v>12</v>
      </c>
      <c r="Q91" s="27" t="s">
        <v>13</v>
      </c>
    </row>
    <row r="92" spans="12:17" x14ac:dyDescent="0.3">
      <c r="L92" s="28">
        <v>9.8000000000000007</v>
      </c>
      <c r="M92" s="28">
        <v>175134.5</v>
      </c>
      <c r="P92" s="28">
        <v>9.8000000000000007</v>
      </c>
      <c r="Q92" s="28">
        <v>19029.599999999999</v>
      </c>
    </row>
    <row r="93" spans="12:17" x14ac:dyDescent="0.3">
      <c r="L93" s="28">
        <f>2*9.8</f>
        <v>19.600000000000001</v>
      </c>
      <c r="M93" s="28">
        <v>285303.40000000002</v>
      </c>
      <c r="P93" s="28">
        <f>2*9.8</f>
        <v>19.600000000000001</v>
      </c>
      <c r="Q93">
        <v>130350.8</v>
      </c>
    </row>
    <row r="94" spans="12:17" x14ac:dyDescent="0.3">
      <c r="L94" s="28">
        <f>3*9.8</f>
        <v>29.400000000000002</v>
      </c>
      <c r="M94" s="28">
        <v>394861.1</v>
      </c>
      <c r="P94" s="28">
        <f>3*9.8</f>
        <v>29.400000000000002</v>
      </c>
      <c r="Q94" s="28">
        <v>241921.6</v>
      </c>
    </row>
    <row r="95" spans="12:17" x14ac:dyDescent="0.3">
      <c r="L95" s="28">
        <f>4*9.8</f>
        <v>39.200000000000003</v>
      </c>
      <c r="M95" s="28">
        <v>504889.7</v>
      </c>
      <c r="P95" s="28">
        <f>4*9.8</f>
        <v>39.200000000000003</v>
      </c>
      <c r="Q95" s="28">
        <v>353660.1</v>
      </c>
    </row>
    <row r="96" spans="12:17" x14ac:dyDescent="0.3">
      <c r="L96" s="28">
        <f>5*9.8</f>
        <v>49</v>
      </c>
      <c r="M96" s="28">
        <v>615306.6</v>
      </c>
      <c r="P96" s="28">
        <f>5*9.8</f>
        <v>49</v>
      </c>
      <c r="Q96" s="28">
        <v>465710.1</v>
      </c>
    </row>
  </sheetData>
  <mergeCells count="16">
    <mergeCell ref="O2:O5"/>
    <mergeCell ref="O8:O12"/>
    <mergeCell ref="O14:O23"/>
    <mergeCell ref="O25:O34"/>
    <mergeCell ref="O40:O44"/>
    <mergeCell ref="O50:O54"/>
    <mergeCell ref="O62:O66"/>
    <mergeCell ref="O72:O76"/>
    <mergeCell ref="G72:G76"/>
    <mergeCell ref="G62:G66"/>
    <mergeCell ref="G2:G5"/>
    <mergeCell ref="G8:G12"/>
    <mergeCell ref="G14:G23"/>
    <mergeCell ref="G25:G34"/>
    <mergeCell ref="G40:G44"/>
    <mergeCell ref="G50:G5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Vaidheesh</dc:creator>
  <cp:lastModifiedBy>Vaidheesh</cp:lastModifiedBy>
  <dcterms:created xsi:type="dcterms:W3CDTF">2026-05-23T07:31:13Z</dcterms:created>
  <dcterms:modified xsi:type="dcterms:W3CDTF">2026-05-23T13:12:34Z</dcterms:modified>
</cp:coreProperties>
</file>