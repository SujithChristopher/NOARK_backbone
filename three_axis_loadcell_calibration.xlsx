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gav\MS Bio Engineering\NOARK_backbone\"/>
    </mc:Choice>
  </mc:AlternateContent>
  <xr:revisionPtr revIDLastSave="0" documentId="13_ncr:1_{9F36432F-4E9C-4473-8AC2-7D47ED40120E}" xr6:coauthVersionLast="47" xr6:coauthVersionMax="47" xr10:uidLastSave="{00000000-0000-0000-0000-000000000000}"/>
  <bookViews>
    <workbookView xWindow="-108" yWindow="-108" windowWidth="23256" windowHeight="12456" activeTab="2" xr2:uid="{996A221F-BD5D-42F0-9C92-EFB24E2B9D7F}"/>
  </bookViews>
  <sheets>
    <sheet name="X and Y Calibration" sheetId="2" r:id="rId1"/>
    <sheet name="validation" sheetId="3" r:id="rId2"/>
    <sheet name="Sheet4" sheetId="4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L23" i="4" l="1"/>
  <c r="BL22" i="4"/>
  <c r="BL21" i="4"/>
  <c r="BL20" i="4"/>
  <c r="BL19" i="4"/>
  <c r="BL18" i="4"/>
  <c r="BL17" i="4"/>
  <c r="BL16" i="4"/>
  <c r="BL15" i="4"/>
  <c r="BL14" i="4"/>
  <c r="BL13" i="4"/>
  <c r="BL12" i="4"/>
  <c r="AM16" i="4"/>
  <c r="BO42" i="4"/>
  <c r="BD123" i="4"/>
  <c r="BD112" i="4"/>
  <c r="BD101" i="4"/>
  <c r="BD90" i="4"/>
  <c r="BD134" i="4"/>
  <c r="BD79" i="4"/>
  <c r="BD68" i="4"/>
  <c r="BF57" i="4"/>
  <c r="BD57" i="4"/>
  <c r="BB57" i="4"/>
  <c r="BD46" i="4"/>
  <c r="BD35" i="4"/>
  <c r="BD24" i="4"/>
  <c r="BF12" i="4"/>
  <c r="BD12" i="4"/>
  <c r="BB12" i="4"/>
  <c r="D2" i="3" a="1"/>
  <c r="D2" i="3" s="1"/>
  <c r="D3" i="3"/>
  <c r="AM25" i="4"/>
  <c r="AM24" i="4"/>
  <c r="AM23" i="4"/>
  <c r="AM22" i="4"/>
  <c r="AM21" i="4"/>
  <c r="AM20" i="4"/>
  <c r="AM19" i="4"/>
  <c r="AM18" i="4"/>
  <c r="AM17" i="4"/>
  <c r="AM15" i="4"/>
  <c r="AM14" i="4"/>
  <c r="AC134" i="4"/>
  <c r="AC123" i="4"/>
  <c r="AC112" i="4"/>
  <c r="AC101" i="4"/>
  <c r="AC90" i="4"/>
  <c r="AC79" i="4"/>
  <c r="AC68" i="4"/>
  <c r="AC57" i="4"/>
  <c r="AC46" i="4"/>
  <c r="AC35" i="4"/>
  <c r="AC24" i="4"/>
  <c r="AC12" i="4"/>
  <c r="AE57" i="4"/>
  <c r="AA57" i="4"/>
  <c r="AE12" i="4"/>
  <c r="AA12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F21" i="5"/>
  <c r="F20" i="5"/>
  <c r="F19" i="5"/>
  <c r="F18" i="5"/>
  <c r="F17" i="5"/>
  <c r="E21" i="5"/>
  <c r="E20" i="5"/>
  <c r="E19" i="5"/>
  <c r="E18" i="5"/>
  <c r="E17" i="5"/>
  <c r="G56" i="3"/>
  <c r="E2" i="5"/>
  <c r="F6" i="5"/>
  <c r="F5" i="5"/>
  <c r="F4" i="5"/>
  <c r="F3" i="5"/>
  <c r="F2" i="5"/>
  <c r="E6" i="5"/>
  <c r="E5" i="5"/>
  <c r="E4" i="5"/>
  <c r="E3" i="5"/>
  <c r="M148" i="4"/>
  <c r="M147" i="4"/>
  <c r="M146" i="4"/>
  <c r="M145" i="4"/>
  <c r="M144" i="4"/>
  <c r="J172" i="4"/>
  <c r="Q148" i="4"/>
  <c r="Q147" i="4"/>
  <c r="Q146" i="4"/>
  <c r="Q145" i="4"/>
  <c r="Q144" i="4"/>
  <c r="Q143" i="4"/>
  <c r="K24" i="4"/>
  <c r="K35" i="4"/>
  <c r="K46" i="4"/>
  <c r="K68" i="4"/>
  <c r="K79" i="4"/>
  <c r="K90" i="4"/>
  <c r="K101" i="4"/>
  <c r="K112" i="4"/>
  <c r="K123" i="4"/>
  <c r="K134" i="4"/>
  <c r="A134" i="4"/>
  <c r="A123" i="4"/>
  <c r="A112" i="4"/>
  <c r="A101" i="4"/>
  <c r="A90" i="4"/>
  <c r="A79" i="4"/>
  <c r="A68" i="4"/>
  <c r="A46" i="4"/>
  <c r="A35" i="4"/>
  <c r="A24" i="4"/>
  <c r="C12" i="4"/>
  <c r="M57" i="4"/>
  <c r="K57" i="4"/>
  <c r="I57" i="4"/>
  <c r="E57" i="4"/>
  <c r="C57" i="4"/>
  <c r="A57" i="4"/>
  <c r="M12" i="4"/>
  <c r="K12" i="4"/>
  <c r="I12" i="4"/>
  <c r="E12" i="4"/>
  <c r="A12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P96" i="2"/>
  <c r="P95" i="2"/>
  <c r="P94" i="2"/>
  <c r="P93" i="2"/>
  <c r="L96" i="2"/>
  <c r="L95" i="2"/>
  <c r="L94" i="2"/>
  <c r="L93" i="2"/>
  <c r="A57" i="2"/>
  <c r="C57" i="2"/>
  <c r="E57" i="2"/>
  <c r="I57" i="2"/>
  <c r="K57" i="2"/>
  <c r="M57" i="2"/>
  <c r="M46" i="2"/>
  <c r="K46" i="2"/>
  <c r="I46" i="2"/>
  <c r="E46" i="2"/>
  <c r="C46" i="2"/>
  <c r="A46" i="2"/>
  <c r="M35" i="2"/>
  <c r="K35" i="2"/>
  <c r="I35" i="2"/>
  <c r="E35" i="2"/>
  <c r="C35" i="2"/>
  <c r="A35" i="2"/>
  <c r="M24" i="2"/>
  <c r="K24" i="2"/>
  <c r="I24" i="2"/>
  <c r="E24" i="2"/>
  <c r="C24" i="2"/>
  <c r="A24" i="2"/>
  <c r="M12" i="2"/>
  <c r="K12" i="2"/>
  <c r="I12" i="2"/>
  <c r="E12" i="2"/>
  <c r="C12" i="2"/>
  <c r="A12" i="2"/>
  <c r="AP23" i="4" l="1"/>
  <c r="V1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<sst xmlns="http://schemas.openxmlformats.org/spreadsheetml/2006/main" count="77" uniqueCount="32">
  <si>
    <t>X</t>
  </si>
  <si>
    <t>Y</t>
  </si>
  <si>
    <t>Z</t>
  </si>
  <si>
    <t>0kg</t>
  </si>
  <si>
    <t>2kg</t>
  </si>
  <si>
    <t>4kg</t>
  </si>
  <si>
    <t>1kg</t>
  </si>
  <si>
    <t>3 kg</t>
  </si>
  <si>
    <t>5kg</t>
  </si>
  <si>
    <t>6kg</t>
  </si>
  <si>
    <t>Force-X</t>
  </si>
  <si>
    <t>ADC-X</t>
  </si>
  <si>
    <t>Force-Y</t>
  </si>
  <si>
    <t>ADC-Y</t>
  </si>
  <si>
    <t>FORCE</t>
  </si>
  <si>
    <t>LC_X</t>
  </si>
  <si>
    <t>LC_Y</t>
  </si>
  <si>
    <t>LCX+LCY</t>
  </si>
  <si>
    <t>F</t>
  </si>
  <si>
    <t>LC</t>
  </si>
  <si>
    <t>Measured</t>
  </si>
  <si>
    <t>s</t>
  </si>
  <si>
    <t>Error</t>
  </si>
  <si>
    <t>MeasuredError</t>
  </si>
  <si>
    <t>FG</t>
  </si>
  <si>
    <t>FM</t>
  </si>
  <si>
    <t>DG</t>
  </si>
  <si>
    <t>DM</t>
  </si>
  <si>
    <t>EF</t>
  </si>
  <si>
    <t>ED</t>
  </si>
  <si>
    <t>Weight(kg)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</si>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</sst>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" fillId="0" borderId="7" xfId="0" applyFont="1" applyBorder="1"/>
    <xf numFmtId="0" fontId="1" fillId="0" borderId="1" xfId="0" applyFont="1" applyBorder="1"/>
    <xf numFmtId="0" fontId="1" fillId="0" borderId="4" xfId="0" applyFont="1" applyBorder="1"/>
    <xf numFmtId="0" fontId="1" fillId="2" borderId="0" xfId="0" applyFont="1" applyFill="1"/>
    <xf numFmtId="0" fontId="1" fillId="0" borderId="9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3" borderId="9" xfId="0" applyFont="1" applyFill="1" applyBorder="1"/>
    <xf numFmtId="0" fontId="0" fillId="3" borderId="9" xfId="0" applyFill="1" applyBorder="1"/>
    <xf numFmtId="0" fontId="0" fillId="3" borderId="0" xfId="0" applyFill="1"/>
    <xf numFmtId="0" fontId="1" fillId="0" borderId="15" xfId="0" applyFont="1" applyBorder="1"/>
    <xf numFmtId="0" fontId="1" fillId="0" borderId="14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ADC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 and Y Calibration'!$M$91</c:f>
              <c:strCache>
                <c:ptCount val="1"/>
                <c:pt idx="0">
                  <c:v>ADC-X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 and Y Calibration'!$L$92:$L$96</c:f>
              <c:numCache>
                <c:formatCode>General</c:formatCode>
                <c:ptCount val="5"/>
                <c:pt idx="0">
                  <c:v>9.8000000000000007</c:v>
                </c:pt>
                <c:pt idx="1">
                  <c:v>19.600000000000001</c:v>
                </c:pt>
                <c:pt idx="2">
                  <c:v>29.400000000000002</c:v>
                </c:pt>
                <c:pt idx="3">
                  <c:v>39.200000000000003</c:v>
                </c:pt>
                <c:pt idx="4">
                  <c:v>49</c:v>
                </c:pt>
              </c:numCache>
            </c:numRef>
          </c:xVal>
          <c:yVal>
            <c:numRef>
              <c:f>'X and Y Calibration'!$M$92:$M$96</c:f>
              <c:numCache>
                <c:formatCode>General</c:formatCode>
                <c:ptCount val="5"/>
                <c:pt idx="0">
                  <c:v>175134.5</c:v>
                </c:pt>
                <c:pt idx="1">
                  <c:v>285303.40000000002</c:v>
                </c:pt>
                <c:pt idx="2">
                  <c:v>394861.1</c:v>
                </c:pt>
                <c:pt idx="3">
                  <c:v>504889.7</c:v>
                </c:pt>
                <c:pt idx="4">
                  <c:v>615306.6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4-4144-86FB-CFAB2A06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274191"/>
        <c:axId val="1424272751"/>
      </c:scatterChart>
      <c:valAx>
        <c:axId val="142427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72751"/>
        <c:crosses val="autoZero"/>
        <c:crossBetween val="midCat"/>
      </c:valAx>
      <c:valAx>
        <c:axId val="14242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7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 and Y Calibration'!$Q$91</c:f>
              <c:strCache>
                <c:ptCount val="1"/>
                <c:pt idx="0">
                  <c:v>ADC-Y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 and Y Calibration'!$P$92:$P$96</c:f>
              <c:numCache>
                <c:formatCode>General</c:formatCode>
                <c:ptCount val="5"/>
                <c:pt idx="0">
                  <c:v>9.8000000000000007</c:v>
                </c:pt>
                <c:pt idx="1">
                  <c:v>19.600000000000001</c:v>
                </c:pt>
                <c:pt idx="2">
                  <c:v>29.400000000000002</c:v>
                </c:pt>
                <c:pt idx="3">
                  <c:v>39.200000000000003</c:v>
                </c:pt>
                <c:pt idx="4">
                  <c:v>49</c:v>
                </c:pt>
              </c:numCache>
            </c:numRef>
          </c:xVal>
          <c:yVal>
            <c:numRef>
              <c:f>'X and Y Calibration'!$Q$92:$Q$96</c:f>
              <c:numCache>
                <c:formatCode>General</c:formatCode>
                <c:ptCount val="5"/>
                <c:pt idx="0">
                  <c:v>19029.599999999999</c:v>
                </c:pt>
                <c:pt idx="1">
                  <c:v>130350.8</c:v>
                </c:pt>
                <c:pt idx="2">
                  <c:v>241921.6</c:v>
                </c:pt>
                <c:pt idx="3">
                  <c:v>353660.1</c:v>
                </c:pt>
                <c:pt idx="4">
                  <c:v>465710.1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C-45A1-A854-3D6EF3937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616815"/>
        <c:axId val="1537618735"/>
      </c:scatterChart>
      <c:valAx>
        <c:axId val="153761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18735"/>
        <c:crosses val="autoZero"/>
        <c:crossBetween val="midCat"/>
      </c:valAx>
      <c:valAx>
        <c:axId val="153761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1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validation!$G$55</c:f>
              <c:strCache>
                <c:ptCount val="1"/>
                <c:pt idx="0">
                  <c:v>LC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56124234470692E-2"/>
                  <c:y val="-9.92125984251968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validation!$F$56:$F$103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2.1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6.1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10.1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14.1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18.100000000000001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22.1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</c:numCache>
            </c:numRef>
          </c:xVal>
          <c:yVal>
            <c:numRef>
              <c:f>validation!$G$56:$G$103</c:f>
              <c:numCache>
                <c:formatCode>General</c:formatCode>
                <c:ptCount val="48"/>
                <c:pt idx="0">
                  <c:v>0.13416407864998739</c:v>
                </c:pt>
                <c:pt idx="1">
                  <c:v>8.3000000000000018E-2</c:v>
                </c:pt>
                <c:pt idx="2">
                  <c:v>0.63700000000000001</c:v>
                </c:pt>
                <c:pt idx="3">
                  <c:v>0.71099999999999997</c:v>
                </c:pt>
                <c:pt idx="4">
                  <c:v>0.78700000000000003</c:v>
                </c:pt>
                <c:pt idx="5">
                  <c:v>1.0409999999999999</c:v>
                </c:pt>
                <c:pt idx="6">
                  <c:v>1.329</c:v>
                </c:pt>
                <c:pt idx="7">
                  <c:v>2.0199999999999996</c:v>
                </c:pt>
                <c:pt idx="8">
                  <c:v>2.3940000000000001</c:v>
                </c:pt>
                <c:pt idx="9">
                  <c:v>2.3929999999999998</c:v>
                </c:pt>
                <c:pt idx="10">
                  <c:v>2.5590000000000002</c:v>
                </c:pt>
                <c:pt idx="11">
                  <c:v>2.8529999999999998</c:v>
                </c:pt>
                <c:pt idx="12">
                  <c:v>3.2670000000000003</c:v>
                </c:pt>
                <c:pt idx="13">
                  <c:v>3.8929999999999998</c:v>
                </c:pt>
                <c:pt idx="14">
                  <c:v>4.3850000000000007</c:v>
                </c:pt>
                <c:pt idx="15">
                  <c:v>4.6769999999999996</c:v>
                </c:pt>
                <c:pt idx="16">
                  <c:v>4.9889999999999999</c:v>
                </c:pt>
                <c:pt idx="17">
                  <c:v>5.3239999999999998</c:v>
                </c:pt>
                <c:pt idx="18">
                  <c:v>5.6030000000000006</c:v>
                </c:pt>
                <c:pt idx="19">
                  <c:v>5.9489999999999998</c:v>
                </c:pt>
                <c:pt idx="20">
                  <c:v>6.0270000000000001</c:v>
                </c:pt>
                <c:pt idx="21">
                  <c:v>6.101</c:v>
                </c:pt>
                <c:pt idx="22">
                  <c:v>6.0830000000000002</c:v>
                </c:pt>
                <c:pt idx="23">
                  <c:v>6.0720000000000001</c:v>
                </c:pt>
                <c:pt idx="24">
                  <c:v>6.1029999999999998</c:v>
                </c:pt>
                <c:pt idx="25">
                  <c:v>6.2739999999999991</c:v>
                </c:pt>
                <c:pt idx="26">
                  <c:v>6.3639999999999999</c:v>
                </c:pt>
                <c:pt idx="27">
                  <c:v>8.5810000000000013</c:v>
                </c:pt>
                <c:pt idx="28">
                  <c:v>8.6710000000000012</c:v>
                </c:pt>
                <c:pt idx="29">
                  <c:v>9.0359999999999996</c:v>
                </c:pt>
                <c:pt idx="30">
                  <c:v>9.4659999999999993</c:v>
                </c:pt>
                <c:pt idx="31">
                  <c:v>9.7900000000000009</c:v>
                </c:pt>
                <c:pt idx="32">
                  <c:v>10.468</c:v>
                </c:pt>
                <c:pt idx="33">
                  <c:v>10.749000000000001</c:v>
                </c:pt>
                <c:pt idx="34">
                  <c:v>10.849</c:v>
                </c:pt>
                <c:pt idx="35">
                  <c:v>11.194000000000001</c:v>
                </c:pt>
                <c:pt idx="36">
                  <c:v>11.318</c:v>
                </c:pt>
                <c:pt idx="37">
                  <c:v>11.572000000000001</c:v>
                </c:pt>
                <c:pt idx="38">
                  <c:v>11.331</c:v>
                </c:pt>
                <c:pt idx="39">
                  <c:v>11.6</c:v>
                </c:pt>
                <c:pt idx="40">
                  <c:v>11.667</c:v>
                </c:pt>
                <c:pt idx="41">
                  <c:v>11.838999999999999</c:v>
                </c:pt>
                <c:pt idx="42">
                  <c:v>11.923999999999999</c:v>
                </c:pt>
                <c:pt idx="43">
                  <c:v>12.135999999999999</c:v>
                </c:pt>
                <c:pt idx="44">
                  <c:v>14.651999999999999</c:v>
                </c:pt>
                <c:pt idx="45">
                  <c:v>15.161000000000001</c:v>
                </c:pt>
                <c:pt idx="46">
                  <c:v>15.786</c:v>
                </c:pt>
                <c:pt idx="47">
                  <c:v>16.144000000000002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9-496E-88DC-77F0F0D1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42367"/>
        <c:axId val="739242847"/>
      </c:scatterChart>
      <c:valAx>
        <c:axId val="73924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42847"/>
        <c:crosses val="autoZero"/>
        <c:crossBetween val="midCat"/>
      </c:valAx>
      <c:valAx>
        <c:axId val="7392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42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92266312990404"/>
          <c:y val="0.19539735579765252"/>
          <c:w val="0.8319884076990375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Sheet4!$K$142</c:f>
              <c:strCache>
                <c:ptCount val="1"/>
                <c:pt idx="0">
                  <c:v>ADC-X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Sheet4!$J$143:$J$154</c:f>
              <c:numCache>
                <c:formatCode>General</c:formatCode>
                <c:ptCount val="12"/>
                <c:pt idx="0">
                  <c:v>0</c:v>
                </c:pt>
                <c:pt idx="1">
                  <c:v>4.9050000000000002</c:v>
                </c:pt>
                <c:pt idx="2">
                  <c:v>9.81</c:v>
                </c:pt>
                <c:pt idx="3">
                  <c:v>19.62</c:v>
                </c:pt>
                <c:pt idx="4">
                  <c:v>29.43</c:v>
                </c:pt>
                <c:pt idx="5">
                  <c:v>39.24</c:v>
                </c:pt>
                <c:pt idx="6">
                  <c:v>39.24</c:v>
                </c:pt>
                <c:pt idx="7">
                  <c:v>29.43</c:v>
                </c:pt>
                <c:pt idx="8">
                  <c:v>19.62</c:v>
                </c:pt>
                <c:pt idx="9">
                  <c:v>9.81</c:v>
                </c:pt>
                <c:pt idx="10">
                  <c:v>4.9050000000000002</c:v>
                </c:pt>
                <c:pt idx="11">
                  <c:v>0</c:v>
                </c:pt>
              </c:numCache>
            </c:numRef>
          </c:xVal>
          <c:yVal>
            <c:numRef>
              <c:f>Sheet4!$K$143:$K$154</c:f>
              <c:numCache>
                <c:formatCode>General</c:formatCode>
                <c:ptCount val="12"/>
                <c:pt idx="0">
                  <c:v>-82545.2</c:v>
                </c:pt>
                <c:pt idx="1">
                  <c:v>-109779.5</c:v>
                </c:pt>
                <c:pt idx="2">
                  <c:v>-136786.4</c:v>
                </c:pt>
                <c:pt idx="3">
                  <c:v>-190861.7</c:v>
                </c:pt>
                <c:pt idx="4">
                  <c:v>-244288</c:v>
                </c:pt>
                <c:pt idx="5">
                  <c:v>-299110.8</c:v>
                </c:pt>
                <c:pt idx="6">
                  <c:v>-298773.3</c:v>
                </c:pt>
                <c:pt idx="7">
                  <c:v>-244737.4</c:v>
                </c:pt>
                <c:pt idx="8">
                  <c:v>-190628.9</c:v>
                </c:pt>
                <c:pt idx="9">
                  <c:v>-136637.1</c:v>
                </c:pt>
                <c:pt idx="10">
                  <c:v>-109280.6</c:v>
                </c:pt>
                <c:pt idx="11">
                  <c:v>-82462.7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3-4D71-B575-0D23397E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07775"/>
        <c:axId val="1889209215"/>
      </c:scatterChart>
      <c:valAx>
        <c:axId val="188920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09215"/>
        <c:crosses val="autoZero"/>
        <c:crossBetween val="midCat"/>
      </c:valAx>
      <c:valAx>
        <c:axId val="18892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0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Sheet4!$O$142</c:f>
              <c:strCache>
                <c:ptCount val="1"/>
                <c:pt idx="0">
                  <c:v>ADC-Y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Sheet4!$N$143:$N$154</c:f>
              <c:numCache>
                <c:formatCode>General</c:formatCode>
                <c:ptCount val="12"/>
                <c:pt idx="0">
                  <c:v>0</c:v>
                </c:pt>
                <c:pt idx="1">
                  <c:v>4.9050000000000002</c:v>
                </c:pt>
                <c:pt idx="2">
                  <c:v>9.81</c:v>
                </c:pt>
                <c:pt idx="3">
                  <c:v>19.62</c:v>
                </c:pt>
                <c:pt idx="4">
                  <c:v>29.43</c:v>
                </c:pt>
                <c:pt idx="5">
                  <c:v>39.24</c:v>
                </c:pt>
                <c:pt idx="6">
                  <c:v>39.24</c:v>
                </c:pt>
                <c:pt idx="7">
                  <c:v>29.43</c:v>
                </c:pt>
                <c:pt idx="8">
                  <c:v>19.62</c:v>
                </c:pt>
                <c:pt idx="9">
                  <c:v>9.81</c:v>
                </c:pt>
                <c:pt idx="10">
                  <c:v>4.9050000000000002</c:v>
                </c:pt>
                <c:pt idx="11">
                  <c:v>0</c:v>
                </c:pt>
              </c:numCache>
            </c:numRef>
          </c:xVal>
          <c:yVal>
            <c:numRef>
              <c:f>Sheet4!$O$143:$O$154</c:f>
              <c:numCache>
                <c:formatCode>General</c:formatCode>
                <c:ptCount val="12"/>
                <c:pt idx="0">
                  <c:v>-8330.2999999999993</c:v>
                </c:pt>
                <c:pt idx="1">
                  <c:v>-35979.5</c:v>
                </c:pt>
                <c:pt idx="2">
                  <c:v>-64097.4</c:v>
                </c:pt>
                <c:pt idx="3">
                  <c:v>-119758.3</c:v>
                </c:pt>
                <c:pt idx="4">
                  <c:v>-174274.2</c:v>
                </c:pt>
                <c:pt idx="5">
                  <c:v>-228963.7</c:v>
                </c:pt>
                <c:pt idx="6">
                  <c:v>-229999.5</c:v>
                </c:pt>
                <c:pt idx="7">
                  <c:v>-173720.8</c:v>
                </c:pt>
                <c:pt idx="8">
                  <c:v>-119285.4</c:v>
                </c:pt>
                <c:pt idx="9">
                  <c:v>-64132.9</c:v>
                </c:pt>
                <c:pt idx="10">
                  <c:v>-36387.300000000003</c:v>
                </c:pt>
                <c:pt idx="11">
                  <c:v>-8735.4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C-45A1-8AED-2BB74848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72543"/>
        <c:axId val="1543444799"/>
      </c:scatterChart>
      <c:valAx>
        <c:axId val="154357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44799"/>
        <c:crosses val="autoZero"/>
        <c:crossBetween val="midCat"/>
      </c:valAx>
      <c:valAx>
        <c:axId val="15434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7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Load</a:t>
            </a:r>
            <a:r>
              <a:rPr lang="en-IN" baseline="0"/>
              <a:t> cell Y axis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923946008753358E-2"/>
                  <c:y val="-0.527027661165618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Sheet4!$AJ$14:$AJ$25</c:f>
              <c:numCache>
                <c:formatCode>General</c:formatCode>
                <c:ptCount val="12"/>
                <c:pt idx="0">
                  <c:v>0</c:v>
                </c:pt>
                <c:pt idx="1">
                  <c:v>4.9050000000000002</c:v>
                </c:pt>
                <c:pt idx="2">
                  <c:v>9.81</c:v>
                </c:pt>
                <c:pt idx="3">
                  <c:v>19.62</c:v>
                </c:pt>
                <c:pt idx="4">
                  <c:v>29.43</c:v>
                </c:pt>
                <c:pt idx="5">
                  <c:v>39.24</c:v>
                </c:pt>
                <c:pt idx="6">
                  <c:v>39.24</c:v>
                </c:pt>
                <c:pt idx="7">
                  <c:v>29.43</c:v>
                </c:pt>
                <c:pt idx="8">
                  <c:v>19.62</c:v>
                </c:pt>
                <c:pt idx="9">
                  <c:v>9.81</c:v>
                </c:pt>
                <c:pt idx="10">
                  <c:v>4.9050000000000002</c:v>
                </c:pt>
                <c:pt idx="11">
                  <c:v>0</c:v>
                </c:pt>
              </c:numCache>
            </c:numRef>
          </c:xVal>
          <c:yVal>
            <c:numRef>
              <c:f>Sheet4!$AK$14:$AK$25</c:f>
              <c:numCache>
                <c:formatCode>General</c:formatCode>
                <c:ptCount val="12"/>
                <c:pt idx="0">
                  <c:v>-6919.4</c:v>
                </c:pt>
                <c:pt idx="1">
                  <c:v>-34196</c:v>
                </c:pt>
                <c:pt idx="2">
                  <c:v>-61343</c:v>
                </c:pt>
                <c:pt idx="3">
                  <c:v>-116287</c:v>
                </c:pt>
                <c:pt idx="4">
                  <c:v>-169333.6</c:v>
                </c:pt>
                <c:pt idx="5">
                  <c:v>-225020.79999999999</c:v>
                </c:pt>
                <c:pt idx="6">
                  <c:v>-224817</c:v>
                </c:pt>
                <c:pt idx="7">
                  <c:v>-170446.4</c:v>
                </c:pt>
                <c:pt idx="8">
                  <c:v>-115991.7</c:v>
                </c:pt>
                <c:pt idx="9">
                  <c:v>-61378</c:v>
                </c:pt>
                <c:pt idx="10">
                  <c:v>-34313.4</c:v>
                </c:pt>
                <c:pt idx="11">
                  <c:v>-7146.2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3-4D7B-BC52-007C830F4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623216"/>
        <c:axId val="1954622736"/>
      </c:scatterChart>
      <c:valAx>
        <c:axId val="19546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22736"/>
        <c:crosses val="autoZero"/>
        <c:crossBetween val="midCat"/>
      </c:valAx>
      <c:valAx>
        <c:axId val="19546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Load</a:t>
            </a:r>
            <a:r>
              <a:rPr lang="en-IN" baseline="0"/>
              <a:t> cell 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085865647815639E-2"/>
                  <c:y val="-0.499822120177999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Sheet4!$BI$12:$BI$23</c:f>
              <c:numCache>
                <c:formatCode>General</c:formatCode>
                <c:ptCount val="12"/>
                <c:pt idx="0">
                  <c:v>0</c:v>
                </c:pt>
                <c:pt idx="1">
                  <c:v>4.9050000000000002</c:v>
                </c:pt>
                <c:pt idx="2">
                  <c:v>9.81</c:v>
                </c:pt>
                <c:pt idx="3">
                  <c:v>19.62</c:v>
                </c:pt>
                <c:pt idx="4">
                  <c:v>29.43</c:v>
                </c:pt>
                <c:pt idx="5">
                  <c:v>39.24</c:v>
                </c:pt>
                <c:pt idx="6">
                  <c:v>39.24</c:v>
                </c:pt>
                <c:pt idx="7">
                  <c:v>29.43</c:v>
                </c:pt>
                <c:pt idx="8">
                  <c:v>19.62</c:v>
                </c:pt>
                <c:pt idx="9">
                  <c:v>9.81</c:v>
                </c:pt>
                <c:pt idx="10">
                  <c:v>4.9050000000000002</c:v>
                </c:pt>
                <c:pt idx="11">
                  <c:v>0</c:v>
                </c:pt>
              </c:numCache>
            </c:numRef>
          </c:xVal>
          <c:yVal>
            <c:numRef>
              <c:f>Sheet4!$BJ$12:$BJ$23</c:f>
              <c:numCache>
                <c:formatCode>General</c:formatCode>
                <c:ptCount val="12"/>
                <c:pt idx="0">
                  <c:v>-82020.3</c:v>
                </c:pt>
                <c:pt idx="1">
                  <c:v>-109686.1</c:v>
                </c:pt>
                <c:pt idx="2">
                  <c:v>-137312.1</c:v>
                </c:pt>
                <c:pt idx="3">
                  <c:v>-192395.1</c:v>
                </c:pt>
                <c:pt idx="4">
                  <c:v>-247706.8</c:v>
                </c:pt>
                <c:pt idx="5">
                  <c:v>-303152.59999999998</c:v>
                </c:pt>
                <c:pt idx="6">
                  <c:v>-302520</c:v>
                </c:pt>
                <c:pt idx="7">
                  <c:v>-247580</c:v>
                </c:pt>
                <c:pt idx="8">
                  <c:v>-192505.8</c:v>
                </c:pt>
                <c:pt idx="9">
                  <c:v>-137055</c:v>
                </c:pt>
                <c:pt idx="10">
                  <c:v>-109536.6</c:v>
                </c:pt>
                <c:pt idx="11">
                  <c:v>-81931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E-465B-9CD0-6403A4E4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473344"/>
        <c:axId val="579470944"/>
      </c:scatterChart>
      <c:valAx>
        <c:axId val="57947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470944"/>
        <c:crosses val="autoZero"/>
        <c:crossBetween val="midCat"/>
      </c:valAx>
      <c:valAx>
        <c:axId val="57947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47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</c:f>
              <c:numCache>
                <c:formatCode>General</c:formatCode>
                <c:ptCount val="5"/>
                <c:pt idx="0">
                  <c:v>5</c:v>
                </c:pt>
                <c:pt idx="1">
                  <c:v>10.1</c:v>
                </c:pt>
                <c:pt idx="2">
                  <c:v>15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9-4F1D-BC8A-CEFF5F4D795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</c:f>
              <c:numCache>
                <c:formatCode>General</c:formatCode>
                <c:ptCount val="5"/>
                <c:pt idx="0">
                  <c:v>2.9159999999999999</c:v>
                </c:pt>
                <c:pt idx="1">
                  <c:v>6.2240000000000002</c:v>
                </c:pt>
                <c:pt idx="2">
                  <c:v>9.8949999999999996</c:v>
                </c:pt>
                <c:pt idx="3">
                  <c:v>13.5</c:v>
                </c:pt>
                <c:pt idx="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9-4F1D-BC8A-CEFF5F4D7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853727"/>
        <c:axId val="1992854207"/>
      </c:lineChart>
      <c:catAx>
        <c:axId val="1992853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54207"/>
        <c:crosses val="autoZero"/>
        <c:auto val="1"/>
        <c:lblAlgn val="ctr"/>
        <c:lblOffset val="100"/>
        <c:noMultiLvlLbl val="0"/>
      </c:catAx>
      <c:valAx>
        <c:axId val="19928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Without</a:t>
            </a:r>
            <a:r>
              <a:rPr lang="en-IN" baseline="0"/>
              <a:t> pulley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FG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Sheet1!$A$17:$A$21</c:f>
              <c:numCache>
                <c:formatCode>General</c:formatCode>
                <c:ptCount val="5"/>
                <c:pt idx="0">
                  <c:v>5</c:v>
                </c:pt>
                <c:pt idx="1">
                  <c:v>10.1</c:v>
                </c:pt>
                <c:pt idx="2">
                  <c:v>15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5-4BFE-90D5-67B5F0EFA053}"/>
            </c:ext>
          </c:extLst>
        </c:ser>
        <c:ser>
          <c:idx val="1"/>
          <c:order val="1"/>
          <c:tx>
            <c:strRef>
              <c:f>Sheet1!$B$16</c:f>
              <c:strCache>
                <c:ptCount val="1"/>
                <c:pt idx="0">
                  <c:v>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Sheet1!$B$17:$B$21</c:f>
              <c:numCache>
                <c:formatCode>General</c:formatCode>
                <c:ptCount val="5"/>
                <c:pt idx="0">
                  <c:v>6.9</c:v>
                </c:pt>
                <c:pt idx="1">
                  <c:v>13</c:v>
                </c:pt>
                <c:pt idx="2">
                  <c:v>20.053999999999998</c:v>
                </c:pt>
                <c:pt idx="3">
                  <c:v>29.9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5-4BFE-90D5-67B5F0EFA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802687"/>
        <c:axId val="912760415"/>
      </c:lineChart>
      <c:catAx>
        <c:axId val="73380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60415"/>
        <c:crosses val="autoZero"/>
        <c:auto val="1"/>
        <c:lblAlgn val="ctr"/>
        <c:lblOffset val="100"/>
        <c:noMultiLvlLbl val="0"/>
      </c:catAx>
      <c:valAx>
        <c:axId val="9127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96</xdr:row>
      <xdr:rowOff>41910</xdr:rowOff>
    </xdr:from>
    <xdr:to>
      <xdr:col>10</xdr:col>
      <xdr:colOff>297180</xdr:colOff>
      <xdr:row>111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E1F49-6B3F-99AB-438A-09FF80FE8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96</xdr:row>
      <xdr:rowOff>80010</xdr:rowOff>
    </xdr:from>
    <xdr:to>
      <xdr:col>18</xdr:col>
      <xdr:colOff>266700</xdr:colOff>
      <xdr:row>111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C8E6B4-9774-0E96-CA1D-616F1B924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576715</xdr:colOff>
      <xdr:row>52</xdr:row>
      <xdr:rowOff>175654</xdr:rowOff>
    </xdr:from>
    <xdr:to>
      <xdr:col>15</xdr:col>
      <xdr:colOff>291739</xdr:colOff>
      <xdr:row>67</xdr:row>
      <xdr:rowOff>134452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46B09B-CCA9-ADB6-75FF-CBB937B4E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242053</xdr:colOff>
      <xdr:row>156</xdr:row>
      <xdr:rowOff>116700</xdr:rowOff>
    </xdr:from>
    <xdr:to>
      <xdr:col>19</xdr:col>
      <xdr:colOff>583541</xdr:colOff>
      <xdr:row>171</xdr:row>
      <xdr:rowOff>116700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FCDD4-ED46-45B3-93C2-840A2911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590197</xdr:colOff>
      <xdr:row>156</xdr:row>
      <xdr:rowOff>116581</xdr:rowOff>
    </xdr:from>
    <xdr:to>
      <xdr:col>27</xdr:col>
      <xdr:colOff>294804</xdr:colOff>
      <xdr:row>171</xdr:row>
      <xdr:rowOff>116581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1E0893-287A-6F1F-005A-7DE91EE24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89062</xdr:colOff>
      <xdr:row>33</xdr:row>
      <xdr:rowOff>20799</xdr:rowOff>
    </xdr:from>
    <xdr:to>
      <xdr:col>45</xdr:col>
      <xdr:colOff>423397</xdr:colOff>
      <xdr:row>47</xdr:row>
      <xdr:rowOff>135981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2D923E-82C9-63C0-3376-861CD9715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206375</xdr:colOff>
      <xdr:row>13</xdr:row>
      <xdr:rowOff>33338</xdr:rowOff>
    </xdr:from>
    <xdr:to>
      <xdr:col>73</xdr:col>
      <xdr:colOff>555625</xdr:colOff>
      <xdr:row>27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1AE0E3-E489-DC5B-A405-D53E44327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3</xdr:row>
      <xdr:rowOff>110490</xdr:rowOff>
    </xdr:from>
    <xdr:to>
      <xdr:col>16</xdr:col>
      <xdr:colOff>106680</xdr:colOff>
      <xdr:row>18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3E79D-FE09-0DF5-8257-EFF75F30E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434340</xdr:colOff>
      <xdr:row>20</xdr:row>
      <xdr:rowOff>163830</xdr:rowOff>
    </xdr:from>
    <xdr:to>
      <xdr:col>16</xdr:col>
      <xdr:colOff>129540</xdr:colOff>
      <xdr:row>35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B9580-1920-0552-D607-5DFE3BC6D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20BF-077B-4843-84B8-D1076DD1A7F9}">
  <dimension ref="A1:Q96"/>
  <sheetViews>
    <sheetView topLeftCell="A57" zoomScale="85" workbookViewId="0">
      <selection activeCell="L91" sqref="L91:Q96"/>
    </sheetView>
  </sheetViews>
  <sheetFormatPr defaultRowHeight="14.4" x14ac:dyDescent="0.3"/>
  <sheetData>
    <row r="1" spans="1:15" ht="15" thickBot="1" x14ac:dyDescent="0.35">
      <c r="A1" s="15" t="s">
        <v>0</v>
      </c>
      <c r="B1" s="1"/>
      <c r="C1" s="1" t="s">
        <v>1</v>
      </c>
      <c r="D1" s="1"/>
      <c r="E1" s="1" t="s">
        <v>2</v>
      </c>
      <c r="I1" s="1" t="s">
        <v>0</v>
      </c>
      <c r="J1" s="1"/>
      <c r="K1" s="15" t="s">
        <v>1</v>
      </c>
      <c r="L1" s="1"/>
      <c r="M1" s="1" t="s">
        <v>2</v>
      </c>
      <c r="N1" s="1"/>
    </row>
    <row r="2" spans="1:15" x14ac:dyDescent="0.3">
      <c r="A2" s="13">
        <v>175316</v>
      </c>
      <c r="B2" s="3"/>
      <c r="C2" s="3">
        <v>8366598</v>
      </c>
      <c r="D2" s="3"/>
      <c r="E2" s="3">
        <v>393</v>
      </c>
      <c r="F2" s="5"/>
      <c r="G2" s="31" t="s">
        <v>3</v>
      </c>
      <c r="I2" s="2">
        <v>137055</v>
      </c>
      <c r="J2" s="3"/>
      <c r="K2" s="4">
        <v>18318</v>
      </c>
      <c r="L2" s="3"/>
      <c r="M2" s="3">
        <v>459</v>
      </c>
      <c r="N2" s="5"/>
      <c r="O2" s="31" t="s">
        <v>3</v>
      </c>
    </row>
    <row r="3" spans="1:15" x14ac:dyDescent="0.3">
      <c r="A3" s="14">
        <v>175054</v>
      </c>
      <c r="C3">
        <v>8366179</v>
      </c>
      <c r="E3">
        <v>483</v>
      </c>
      <c r="F3" s="7"/>
      <c r="G3" s="31"/>
      <c r="I3" s="6">
        <v>137159</v>
      </c>
      <c r="K3" s="1">
        <v>19451</v>
      </c>
      <c r="M3">
        <v>513</v>
      </c>
      <c r="N3" s="7"/>
      <c r="O3" s="31"/>
    </row>
    <row r="4" spans="1:15" x14ac:dyDescent="0.3">
      <c r="A4" s="14">
        <v>175121</v>
      </c>
      <c r="C4">
        <v>8366022</v>
      </c>
      <c r="E4">
        <v>444</v>
      </c>
      <c r="F4" s="7"/>
      <c r="G4" s="31"/>
      <c r="I4" s="6">
        <v>137352</v>
      </c>
      <c r="K4" s="1">
        <v>19451</v>
      </c>
      <c r="M4">
        <v>492</v>
      </c>
      <c r="N4" s="7"/>
      <c r="O4" s="31"/>
    </row>
    <row r="5" spans="1:15" x14ac:dyDescent="0.3">
      <c r="A5" s="14">
        <v>174690</v>
      </c>
      <c r="C5">
        <v>8367811</v>
      </c>
      <c r="E5">
        <v>389</v>
      </c>
      <c r="F5" s="7"/>
      <c r="G5" s="31"/>
      <c r="I5" s="6">
        <v>136796</v>
      </c>
      <c r="K5" s="1">
        <v>19171</v>
      </c>
      <c r="M5">
        <v>452</v>
      </c>
      <c r="N5" s="7"/>
      <c r="O5" s="31"/>
    </row>
    <row r="6" spans="1:15" x14ac:dyDescent="0.3">
      <c r="A6" s="14">
        <v>175011</v>
      </c>
      <c r="C6">
        <v>8367458</v>
      </c>
      <c r="E6">
        <v>447</v>
      </c>
      <c r="F6" s="7"/>
      <c r="I6" s="6">
        <v>136736</v>
      </c>
      <c r="K6" s="1">
        <v>18715</v>
      </c>
      <c r="M6">
        <v>466</v>
      </c>
      <c r="N6" s="7"/>
    </row>
    <row r="7" spans="1:15" x14ac:dyDescent="0.3">
      <c r="A7" s="14">
        <v>174818</v>
      </c>
      <c r="C7">
        <v>8366298</v>
      </c>
      <c r="E7">
        <v>465</v>
      </c>
      <c r="F7" s="7"/>
      <c r="I7" s="6">
        <v>136257</v>
      </c>
      <c r="K7" s="1">
        <v>18471</v>
      </c>
      <c r="M7">
        <v>540</v>
      </c>
      <c r="N7" s="7"/>
    </row>
    <row r="8" spans="1:15" x14ac:dyDescent="0.3">
      <c r="A8" s="14">
        <v>175368</v>
      </c>
      <c r="C8">
        <v>8365853</v>
      </c>
      <c r="E8">
        <v>504</v>
      </c>
      <c r="F8" s="7"/>
      <c r="G8" s="31"/>
      <c r="I8" s="6">
        <v>137383</v>
      </c>
      <c r="K8" s="1">
        <v>18585</v>
      </c>
      <c r="M8">
        <v>457</v>
      </c>
      <c r="N8" s="7"/>
      <c r="O8" s="31"/>
    </row>
    <row r="9" spans="1:15" x14ac:dyDescent="0.3">
      <c r="A9" s="14">
        <v>175380</v>
      </c>
      <c r="C9">
        <v>8365923</v>
      </c>
      <c r="E9">
        <v>476</v>
      </c>
      <c r="F9" s="7"/>
      <c r="G9" s="31"/>
      <c r="I9" s="6">
        <v>136834</v>
      </c>
      <c r="K9" s="1">
        <v>19214</v>
      </c>
      <c r="M9">
        <v>486</v>
      </c>
      <c r="N9" s="7"/>
      <c r="O9" s="31"/>
    </row>
    <row r="10" spans="1:15" x14ac:dyDescent="0.3">
      <c r="A10" s="14">
        <v>175205</v>
      </c>
      <c r="C10">
        <v>8366604</v>
      </c>
      <c r="E10">
        <v>416</v>
      </c>
      <c r="F10" s="7"/>
      <c r="G10" s="31"/>
      <c r="I10" s="6">
        <v>137488</v>
      </c>
      <c r="K10" s="1">
        <v>19013</v>
      </c>
      <c r="M10">
        <v>452</v>
      </c>
      <c r="N10" s="7"/>
      <c r="O10" s="31"/>
    </row>
    <row r="11" spans="1:15" ht="15" thickBot="1" x14ac:dyDescent="0.35">
      <c r="A11" s="8">
        <v>175382</v>
      </c>
      <c r="B11" s="9"/>
      <c r="C11" s="9">
        <v>8367002</v>
      </c>
      <c r="D11" s="9"/>
      <c r="E11" s="9">
        <v>463</v>
      </c>
      <c r="F11" s="10"/>
      <c r="G11" s="31"/>
      <c r="I11" s="11">
        <v>137012</v>
      </c>
      <c r="J11" s="9"/>
      <c r="K11" s="12">
        <v>19907</v>
      </c>
      <c r="L11" s="9"/>
      <c r="M11" s="9">
        <v>520</v>
      </c>
      <c r="N11" s="10"/>
      <c r="O11" s="31"/>
    </row>
    <row r="12" spans="1:15" x14ac:dyDescent="0.3">
      <c r="A12" s="1">
        <f>AVERAGE(A2:A11)</f>
        <v>175134.5</v>
      </c>
      <c r="C12" s="1">
        <f>AVERAGE(C2:C11)</f>
        <v>8366574.7999999998</v>
      </c>
      <c r="E12" s="1">
        <f>AVERAGE(E2:E11)</f>
        <v>448</v>
      </c>
      <c r="G12" s="31"/>
      <c r="I12" s="1">
        <f>AVERAGE(I2:I11)</f>
        <v>137007.20000000001</v>
      </c>
      <c r="K12" s="1">
        <f>AVERAGE(K2:K11)</f>
        <v>19029.599999999999</v>
      </c>
      <c r="M12" s="1">
        <f>AVERAGE(M2:M11)</f>
        <v>483.7</v>
      </c>
      <c r="O12" s="31"/>
    </row>
    <row r="13" spans="1:15" ht="15" thickBot="1" x14ac:dyDescent="0.35"/>
    <row r="14" spans="1:15" x14ac:dyDescent="0.3">
      <c r="A14" s="13">
        <v>285120</v>
      </c>
      <c r="B14" s="3"/>
      <c r="C14" s="3">
        <v>8364970</v>
      </c>
      <c r="D14" s="3"/>
      <c r="E14" s="3">
        <v>408</v>
      </c>
      <c r="F14" s="5"/>
      <c r="G14" s="30" t="s">
        <v>6</v>
      </c>
      <c r="I14" s="2">
        <v>140167</v>
      </c>
      <c r="J14" s="3"/>
      <c r="K14" s="4">
        <v>130065</v>
      </c>
      <c r="L14" s="3"/>
      <c r="M14" s="3">
        <v>498</v>
      </c>
      <c r="N14" s="5"/>
      <c r="O14" s="31" t="s">
        <v>6</v>
      </c>
    </row>
    <row r="15" spans="1:15" x14ac:dyDescent="0.3">
      <c r="A15" s="14">
        <v>285624</v>
      </c>
      <c r="C15">
        <v>8364586</v>
      </c>
      <c r="E15">
        <v>452</v>
      </c>
      <c r="F15" s="7"/>
      <c r="G15" s="30"/>
      <c r="I15" s="6">
        <v>139228</v>
      </c>
      <c r="K15" s="1">
        <v>130540</v>
      </c>
      <c r="M15">
        <v>481</v>
      </c>
      <c r="N15" s="7"/>
      <c r="O15" s="31"/>
    </row>
    <row r="16" spans="1:15" x14ac:dyDescent="0.3">
      <c r="A16" s="14">
        <v>285289</v>
      </c>
      <c r="C16">
        <v>8364036</v>
      </c>
      <c r="E16">
        <v>400</v>
      </c>
      <c r="F16" s="7"/>
      <c r="G16" s="30"/>
      <c r="I16" s="6">
        <v>138112</v>
      </c>
      <c r="K16" s="1">
        <v>129167</v>
      </c>
      <c r="M16">
        <v>484</v>
      </c>
      <c r="N16" s="7"/>
      <c r="O16" s="31"/>
    </row>
    <row r="17" spans="1:15" x14ac:dyDescent="0.3">
      <c r="A17" s="14">
        <v>285686</v>
      </c>
      <c r="C17">
        <v>8363846</v>
      </c>
      <c r="E17">
        <v>442</v>
      </c>
      <c r="F17" s="7"/>
      <c r="G17" s="30"/>
      <c r="I17" s="6">
        <v>137747</v>
      </c>
      <c r="K17" s="1">
        <v>130541</v>
      </c>
      <c r="M17">
        <v>377</v>
      </c>
      <c r="N17" s="7"/>
      <c r="O17" s="31"/>
    </row>
    <row r="18" spans="1:15" x14ac:dyDescent="0.3">
      <c r="A18" s="14">
        <v>285156</v>
      </c>
      <c r="C18">
        <v>8364060</v>
      </c>
      <c r="E18">
        <v>495</v>
      </c>
      <c r="F18" s="7"/>
      <c r="G18" s="30"/>
      <c r="I18" s="6">
        <v>137762</v>
      </c>
      <c r="K18" s="1">
        <v>130214</v>
      </c>
      <c r="M18">
        <v>425</v>
      </c>
      <c r="N18" s="7"/>
      <c r="O18" s="31"/>
    </row>
    <row r="19" spans="1:15" x14ac:dyDescent="0.3">
      <c r="A19" s="14">
        <v>285234</v>
      </c>
      <c r="C19">
        <v>8364670</v>
      </c>
      <c r="E19">
        <v>393</v>
      </c>
      <c r="F19" s="7"/>
      <c r="G19" s="30"/>
      <c r="I19" s="6">
        <v>138923</v>
      </c>
      <c r="K19" s="1">
        <v>129919</v>
      </c>
      <c r="M19">
        <v>504</v>
      </c>
      <c r="N19" s="7"/>
      <c r="O19" s="31"/>
    </row>
    <row r="20" spans="1:15" x14ac:dyDescent="0.3">
      <c r="A20" s="14">
        <v>285407</v>
      </c>
      <c r="C20">
        <v>8363573</v>
      </c>
      <c r="E20">
        <v>448</v>
      </c>
      <c r="F20" s="7"/>
      <c r="G20" s="30"/>
      <c r="I20" s="6">
        <v>139232</v>
      </c>
      <c r="K20" s="1">
        <v>131072</v>
      </c>
      <c r="M20">
        <v>488</v>
      </c>
      <c r="N20" s="7"/>
      <c r="O20" s="31"/>
    </row>
    <row r="21" spans="1:15" x14ac:dyDescent="0.3">
      <c r="A21" s="14">
        <v>285382</v>
      </c>
      <c r="C21">
        <v>8364663</v>
      </c>
      <c r="E21">
        <v>424</v>
      </c>
      <c r="F21" s="7"/>
      <c r="G21" s="30"/>
      <c r="I21" s="6">
        <v>139955</v>
      </c>
      <c r="K21" s="1">
        <v>130650</v>
      </c>
      <c r="M21">
        <v>509</v>
      </c>
      <c r="N21" s="7"/>
      <c r="O21" s="31"/>
    </row>
    <row r="22" spans="1:15" x14ac:dyDescent="0.3">
      <c r="A22" s="14">
        <v>285095</v>
      </c>
      <c r="C22">
        <v>8365377</v>
      </c>
      <c r="E22">
        <v>361</v>
      </c>
      <c r="F22" s="7"/>
      <c r="G22" s="30"/>
      <c r="I22" s="6">
        <v>139990</v>
      </c>
      <c r="K22" s="1">
        <v>130778</v>
      </c>
      <c r="M22">
        <v>522</v>
      </c>
      <c r="N22" s="7"/>
      <c r="O22" s="31"/>
    </row>
    <row r="23" spans="1:15" ht="15" thickBot="1" x14ac:dyDescent="0.35">
      <c r="A23" s="8">
        <v>285041</v>
      </c>
      <c r="B23" s="9"/>
      <c r="C23" s="9">
        <v>8364879</v>
      </c>
      <c r="D23" s="9"/>
      <c r="E23" s="9">
        <v>399</v>
      </c>
      <c r="F23" s="10"/>
      <c r="G23" s="30"/>
      <c r="I23" s="11">
        <v>140475</v>
      </c>
      <c r="J23" s="9"/>
      <c r="K23" s="12">
        <v>130562</v>
      </c>
      <c r="L23" s="9"/>
      <c r="M23" s="9">
        <v>552</v>
      </c>
      <c r="N23" s="10"/>
      <c r="O23" s="31"/>
    </row>
    <row r="24" spans="1:15" ht="15" thickBot="1" x14ac:dyDescent="0.35">
      <c r="A24" s="1">
        <f>AVERAGE(A14:A23)</f>
        <v>285303.40000000002</v>
      </c>
      <c r="C24" s="1">
        <f>AVERAGE(C14:C23)</f>
        <v>8364466</v>
      </c>
      <c r="E24" s="1">
        <f>AVERAGE(E14:E23)</f>
        <v>422.2</v>
      </c>
      <c r="I24" s="1">
        <f>AVERAGE(I14:I23)</f>
        <v>139159.1</v>
      </c>
      <c r="K24" s="1">
        <f>AVERAGE(K14:K23)</f>
        <v>130350.8</v>
      </c>
      <c r="M24" s="1">
        <f>AVERAGE(M14:M23)</f>
        <v>484</v>
      </c>
    </row>
    <row r="25" spans="1:15" x14ac:dyDescent="0.3">
      <c r="A25" s="13">
        <v>394878</v>
      </c>
      <c r="B25" s="3"/>
      <c r="C25" s="3">
        <v>8362354</v>
      </c>
      <c r="D25" s="3"/>
      <c r="E25" s="3">
        <v>487</v>
      </c>
      <c r="F25" s="5"/>
      <c r="G25" s="31" t="s">
        <v>4</v>
      </c>
      <c r="I25" s="2">
        <v>143228</v>
      </c>
      <c r="J25" s="3"/>
      <c r="K25" s="4">
        <v>242548</v>
      </c>
      <c r="L25" s="3"/>
      <c r="M25" s="3">
        <v>476</v>
      </c>
      <c r="N25" s="5"/>
      <c r="O25" s="31" t="s">
        <v>4</v>
      </c>
    </row>
    <row r="26" spans="1:15" x14ac:dyDescent="0.3">
      <c r="A26" s="14">
        <v>395378</v>
      </c>
      <c r="C26">
        <v>8362391</v>
      </c>
      <c r="E26">
        <v>407</v>
      </c>
      <c r="F26" s="7"/>
      <c r="G26" s="31"/>
      <c r="I26" s="6">
        <v>141191</v>
      </c>
      <c r="K26" s="1">
        <v>241219</v>
      </c>
      <c r="M26">
        <v>447</v>
      </c>
      <c r="N26" s="7"/>
      <c r="O26" s="31"/>
    </row>
    <row r="27" spans="1:15" x14ac:dyDescent="0.3">
      <c r="A27" s="14">
        <v>394640</v>
      </c>
      <c r="C27">
        <v>8361670</v>
      </c>
      <c r="E27">
        <v>437</v>
      </c>
      <c r="F27" s="7"/>
      <c r="G27" s="31"/>
      <c r="I27" s="6">
        <v>141120</v>
      </c>
      <c r="K27" s="1">
        <v>242147</v>
      </c>
      <c r="M27">
        <v>485</v>
      </c>
      <c r="N27" s="7"/>
      <c r="O27" s="31"/>
    </row>
    <row r="28" spans="1:15" x14ac:dyDescent="0.3">
      <c r="A28" s="14">
        <v>394976</v>
      </c>
      <c r="C28">
        <v>8363287</v>
      </c>
      <c r="E28">
        <v>465</v>
      </c>
      <c r="F28" s="7"/>
      <c r="G28" s="31"/>
      <c r="I28" s="6">
        <v>140533</v>
      </c>
      <c r="K28" s="1">
        <v>242199</v>
      </c>
      <c r="M28">
        <v>532</v>
      </c>
      <c r="N28" s="7"/>
      <c r="O28" s="31"/>
    </row>
    <row r="29" spans="1:15" x14ac:dyDescent="0.3">
      <c r="A29" s="14">
        <v>395033</v>
      </c>
      <c r="C29">
        <v>8361809</v>
      </c>
      <c r="E29">
        <v>435</v>
      </c>
      <c r="F29" s="7"/>
      <c r="G29" s="31"/>
      <c r="I29" s="6">
        <v>141312</v>
      </c>
      <c r="K29" s="1">
        <v>241634</v>
      </c>
      <c r="M29">
        <v>478</v>
      </c>
      <c r="N29" s="7"/>
      <c r="O29" s="31"/>
    </row>
    <row r="30" spans="1:15" x14ac:dyDescent="0.3">
      <c r="A30" s="14">
        <v>394533</v>
      </c>
      <c r="C30">
        <v>8362210</v>
      </c>
      <c r="E30">
        <v>484</v>
      </c>
      <c r="F30" s="7"/>
      <c r="G30" s="31"/>
      <c r="I30" s="6">
        <v>140023</v>
      </c>
      <c r="K30" s="1">
        <v>241491</v>
      </c>
      <c r="M30">
        <v>381</v>
      </c>
      <c r="N30" s="7"/>
      <c r="O30" s="31"/>
    </row>
    <row r="31" spans="1:15" x14ac:dyDescent="0.3">
      <c r="A31" s="14">
        <v>394819</v>
      </c>
      <c r="C31">
        <v>8363098</v>
      </c>
      <c r="E31">
        <v>425</v>
      </c>
      <c r="F31" s="7"/>
      <c r="G31" s="31"/>
      <c r="I31" s="6">
        <v>140513</v>
      </c>
      <c r="K31" s="1">
        <v>241858</v>
      </c>
      <c r="M31">
        <v>453</v>
      </c>
      <c r="N31" s="7"/>
      <c r="O31" s="31"/>
    </row>
    <row r="32" spans="1:15" x14ac:dyDescent="0.3">
      <c r="A32" s="14">
        <v>394879</v>
      </c>
      <c r="C32">
        <v>8362031</v>
      </c>
      <c r="E32">
        <v>469</v>
      </c>
      <c r="F32" s="7"/>
      <c r="G32" s="31"/>
      <c r="I32" s="6">
        <v>141984</v>
      </c>
      <c r="K32" s="1">
        <v>242725</v>
      </c>
      <c r="M32">
        <v>451</v>
      </c>
      <c r="N32" s="7"/>
      <c r="O32" s="31"/>
    </row>
    <row r="33" spans="1:15" x14ac:dyDescent="0.3">
      <c r="A33" s="14">
        <v>394818</v>
      </c>
      <c r="C33">
        <v>8361526</v>
      </c>
      <c r="E33">
        <v>444</v>
      </c>
      <c r="F33" s="7"/>
      <c r="G33" s="31"/>
      <c r="I33" s="6">
        <v>142638</v>
      </c>
      <c r="K33" s="1">
        <v>241691</v>
      </c>
      <c r="M33">
        <v>535</v>
      </c>
      <c r="N33" s="7"/>
      <c r="O33" s="31"/>
    </row>
    <row r="34" spans="1:15" ht="15" thickBot="1" x14ac:dyDescent="0.35">
      <c r="A34" s="8">
        <v>394657</v>
      </c>
      <c r="B34" s="9"/>
      <c r="C34" s="9">
        <v>8361978</v>
      </c>
      <c r="D34" s="9"/>
      <c r="E34" s="9">
        <v>499</v>
      </c>
      <c r="F34" s="10"/>
      <c r="G34" s="31"/>
      <c r="I34" s="11">
        <v>143013</v>
      </c>
      <c r="J34" s="9"/>
      <c r="K34" s="12">
        <v>241704</v>
      </c>
      <c r="L34" s="9"/>
      <c r="M34" s="9">
        <v>462</v>
      </c>
      <c r="N34" s="10"/>
      <c r="O34" s="31"/>
    </row>
    <row r="35" spans="1:15" ht="15" thickBot="1" x14ac:dyDescent="0.35">
      <c r="A35" s="1">
        <f>AVERAGE(A25:A34)</f>
        <v>394861.1</v>
      </c>
      <c r="C35" s="1">
        <f>AVERAGE(C25:C34)</f>
        <v>8362235.4000000004</v>
      </c>
      <c r="E35" s="1">
        <f>AVERAGE(E25:E34)</f>
        <v>455.2</v>
      </c>
      <c r="I35" s="1">
        <f>AVERAGE(I25:I34)</f>
        <v>141555.5</v>
      </c>
      <c r="K35" s="1">
        <f>AVERAGE(K25:K34)</f>
        <v>241921.6</v>
      </c>
      <c r="M35" s="1">
        <f>AVERAGE(M25:M34)</f>
        <v>470</v>
      </c>
    </row>
    <row r="36" spans="1:15" x14ac:dyDescent="0.3">
      <c r="A36" s="13">
        <v>504583</v>
      </c>
      <c r="B36" s="3"/>
      <c r="C36" s="3">
        <v>8360618</v>
      </c>
      <c r="D36" s="3"/>
      <c r="E36" s="3">
        <v>486</v>
      </c>
      <c r="F36" s="5"/>
      <c r="I36" s="2">
        <v>145380</v>
      </c>
      <c r="J36" s="3"/>
      <c r="K36" s="4">
        <v>353380</v>
      </c>
      <c r="L36" s="3"/>
      <c r="M36" s="3">
        <v>532</v>
      </c>
      <c r="N36" s="5"/>
    </row>
    <row r="37" spans="1:15" x14ac:dyDescent="0.3">
      <c r="A37" s="14">
        <v>504858</v>
      </c>
      <c r="C37">
        <v>8360639</v>
      </c>
      <c r="E37">
        <v>465</v>
      </c>
      <c r="F37" s="7"/>
      <c r="I37" s="6">
        <v>143976</v>
      </c>
      <c r="K37" s="1">
        <v>354539</v>
      </c>
      <c r="M37">
        <v>436</v>
      </c>
      <c r="N37" s="7"/>
    </row>
    <row r="38" spans="1:15" x14ac:dyDescent="0.3">
      <c r="A38" s="14">
        <v>504738</v>
      </c>
      <c r="C38">
        <v>8360962</v>
      </c>
      <c r="E38">
        <v>364</v>
      </c>
      <c r="F38" s="7"/>
      <c r="I38" s="6">
        <v>143063</v>
      </c>
      <c r="K38" s="1">
        <v>353669</v>
      </c>
      <c r="M38">
        <v>412</v>
      </c>
      <c r="N38" s="7"/>
    </row>
    <row r="39" spans="1:15" x14ac:dyDescent="0.3">
      <c r="A39" s="14">
        <v>505239</v>
      </c>
      <c r="C39">
        <v>8360567</v>
      </c>
      <c r="E39">
        <v>494</v>
      </c>
      <c r="F39" s="7"/>
      <c r="I39" s="6">
        <v>141394</v>
      </c>
      <c r="K39" s="1">
        <v>353994</v>
      </c>
      <c r="M39">
        <v>457</v>
      </c>
      <c r="N39" s="7"/>
    </row>
    <row r="40" spans="1:15" x14ac:dyDescent="0.3">
      <c r="A40" s="14">
        <v>504963</v>
      </c>
      <c r="C40">
        <v>8360718</v>
      </c>
      <c r="E40">
        <v>448</v>
      </c>
      <c r="F40" s="7"/>
      <c r="G40" s="31" t="s">
        <v>7</v>
      </c>
      <c r="I40" s="6">
        <v>141867</v>
      </c>
      <c r="K40" s="1">
        <v>353341</v>
      </c>
      <c r="M40">
        <v>421</v>
      </c>
      <c r="N40" s="7"/>
      <c r="O40" s="31" t="s">
        <v>7</v>
      </c>
    </row>
    <row r="41" spans="1:15" x14ac:dyDescent="0.3">
      <c r="A41" s="14">
        <v>504913</v>
      </c>
      <c r="C41">
        <v>8360509</v>
      </c>
      <c r="E41">
        <v>441</v>
      </c>
      <c r="F41" s="7"/>
      <c r="G41" s="31"/>
      <c r="I41" s="6">
        <v>141348</v>
      </c>
      <c r="K41" s="1">
        <v>353725</v>
      </c>
      <c r="M41">
        <v>506</v>
      </c>
      <c r="N41" s="7"/>
      <c r="O41" s="31"/>
    </row>
    <row r="42" spans="1:15" x14ac:dyDescent="0.3">
      <c r="A42" s="14">
        <v>504967</v>
      </c>
      <c r="C42">
        <v>8360829</v>
      </c>
      <c r="E42">
        <v>486</v>
      </c>
      <c r="F42" s="7"/>
      <c r="G42" s="31"/>
      <c r="I42" s="6">
        <v>142495</v>
      </c>
      <c r="K42" s="1">
        <v>353449</v>
      </c>
      <c r="M42">
        <v>500</v>
      </c>
      <c r="N42" s="7"/>
      <c r="O42" s="31"/>
    </row>
    <row r="43" spans="1:15" x14ac:dyDescent="0.3">
      <c r="A43" s="14">
        <v>505250</v>
      </c>
      <c r="C43">
        <v>8360260</v>
      </c>
      <c r="E43">
        <v>492</v>
      </c>
      <c r="F43" s="7"/>
      <c r="G43" s="31"/>
      <c r="I43" s="6">
        <v>143027</v>
      </c>
      <c r="K43" s="1">
        <v>353972</v>
      </c>
      <c r="M43">
        <v>422</v>
      </c>
      <c r="N43" s="7"/>
      <c r="O43" s="31"/>
    </row>
    <row r="44" spans="1:15" x14ac:dyDescent="0.3">
      <c r="A44" s="14">
        <v>504613</v>
      </c>
      <c r="C44">
        <v>8361335</v>
      </c>
      <c r="E44">
        <v>481</v>
      </c>
      <c r="F44" s="7"/>
      <c r="G44" s="31"/>
      <c r="I44" s="6">
        <v>145093</v>
      </c>
      <c r="K44" s="1">
        <v>353168</v>
      </c>
      <c r="M44">
        <v>446</v>
      </c>
      <c r="N44" s="7"/>
      <c r="O44" s="31"/>
    </row>
    <row r="45" spans="1:15" ht="15" thickBot="1" x14ac:dyDescent="0.35">
      <c r="A45" s="8">
        <v>504773</v>
      </c>
      <c r="B45" s="9"/>
      <c r="C45" s="9">
        <v>8360140</v>
      </c>
      <c r="D45" s="9"/>
      <c r="E45" s="9">
        <v>428</v>
      </c>
      <c r="F45" s="10"/>
      <c r="I45" s="11">
        <v>146479</v>
      </c>
      <c r="J45" s="9"/>
      <c r="K45" s="12">
        <v>353364</v>
      </c>
      <c r="L45" s="9"/>
      <c r="M45" s="9">
        <v>452</v>
      </c>
      <c r="N45" s="10"/>
    </row>
    <row r="46" spans="1:15" ht="15" thickBot="1" x14ac:dyDescent="0.35">
      <c r="A46" s="1">
        <f>AVERAGE(A36:A45)</f>
        <v>504889.7</v>
      </c>
      <c r="C46" s="1">
        <f>AVERAGE(C36:C45)</f>
        <v>8360657.7000000002</v>
      </c>
      <c r="E46" s="1">
        <f>AVERAGE(E36:E45)</f>
        <v>458.5</v>
      </c>
      <c r="I46" s="1">
        <f>AVERAGE(I36:I45)</f>
        <v>143412.20000000001</v>
      </c>
      <c r="K46" s="1">
        <f>AVERAGE(K36:K45)</f>
        <v>353660.1</v>
      </c>
      <c r="M46" s="1">
        <f>AVERAGE(M36:M45)</f>
        <v>458.4</v>
      </c>
    </row>
    <row r="47" spans="1:15" x14ac:dyDescent="0.3">
      <c r="A47" s="13">
        <v>614664</v>
      </c>
      <c r="B47" s="3"/>
      <c r="C47" s="3">
        <v>8357831</v>
      </c>
      <c r="D47" s="3"/>
      <c r="E47" s="3">
        <v>400</v>
      </c>
      <c r="F47" s="5"/>
      <c r="I47" s="2">
        <v>145286</v>
      </c>
      <c r="J47" s="3"/>
      <c r="K47" s="3">
        <v>466139</v>
      </c>
      <c r="L47" s="3"/>
      <c r="M47" s="3">
        <v>496</v>
      </c>
      <c r="N47" s="5"/>
    </row>
    <row r="48" spans="1:15" x14ac:dyDescent="0.3">
      <c r="A48" s="14">
        <v>615404</v>
      </c>
      <c r="C48">
        <v>8358637</v>
      </c>
      <c r="E48">
        <v>387</v>
      </c>
      <c r="F48" s="7"/>
      <c r="I48" s="14">
        <v>146268</v>
      </c>
      <c r="K48">
        <v>465891</v>
      </c>
      <c r="M48">
        <v>390</v>
      </c>
      <c r="N48" s="7"/>
    </row>
    <row r="49" spans="1:15" x14ac:dyDescent="0.3">
      <c r="A49" s="14">
        <v>614984</v>
      </c>
      <c r="C49">
        <v>8357954</v>
      </c>
      <c r="E49">
        <v>412</v>
      </c>
      <c r="F49" s="7"/>
      <c r="I49" s="14">
        <v>146425</v>
      </c>
      <c r="K49">
        <v>466275</v>
      </c>
      <c r="M49">
        <v>485</v>
      </c>
      <c r="N49" s="7"/>
    </row>
    <row r="50" spans="1:15" x14ac:dyDescent="0.3">
      <c r="A50" s="14">
        <v>615750</v>
      </c>
      <c r="C50">
        <v>8358318</v>
      </c>
      <c r="E50">
        <v>515</v>
      </c>
      <c r="F50" s="7"/>
      <c r="G50" s="31" t="s">
        <v>5</v>
      </c>
      <c r="I50" s="14">
        <v>147486</v>
      </c>
      <c r="K50">
        <v>466144</v>
      </c>
      <c r="M50">
        <v>457</v>
      </c>
      <c r="N50" s="7"/>
      <c r="O50" s="31" t="s">
        <v>5</v>
      </c>
    </row>
    <row r="51" spans="1:15" x14ac:dyDescent="0.3">
      <c r="A51" s="14">
        <v>615749</v>
      </c>
      <c r="C51">
        <v>8358985</v>
      </c>
      <c r="E51">
        <v>434</v>
      </c>
      <c r="F51" s="7"/>
      <c r="G51" s="31"/>
      <c r="I51" s="14">
        <v>147207</v>
      </c>
      <c r="K51">
        <v>466060</v>
      </c>
      <c r="M51">
        <v>416</v>
      </c>
      <c r="N51" s="7"/>
      <c r="O51" s="31"/>
    </row>
    <row r="52" spans="1:15" x14ac:dyDescent="0.3">
      <c r="A52" s="14">
        <v>615782</v>
      </c>
      <c r="C52">
        <v>8359106</v>
      </c>
      <c r="E52">
        <v>411</v>
      </c>
      <c r="F52" s="7"/>
      <c r="G52" s="31"/>
      <c r="I52" s="14">
        <v>147156</v>
      </c>
      <c r="K52">
        <v>465857</v>
      </c>
      <c r="M52">
        <v>414</v>
      </c>
      <c r="N52" s="7"/>
      <c r="O52" s="31"/>
    </row>
    <row r="53" spans="1:15" x14ac:dyDescent="0.3">
      <c r="A53" s="14">
        <v>615629</v>
      </c>
      <c r="C53">
        <v>8358767</v>
      </c>
      <c r="E53">
        <v>413</v>
      </c>
      <c r="F53" s="7"/>
      <c r="G53" s="31"/>
      <c r="I53" s="14">
        <v>145982</v>
      </c>
      <c r="K53">
        <v>465950</v>
      </c>
      <c r="M53">
        <v>493</v>
      </c>
      <c r="N53" s="7"/>
      <c r="O53" s="31"/>
    </row>
    <row r="54" spans="1:15" x14ac:dyDescent="0.3">
      <c r="A54" s="14">
        <v>615403</v>
      </c>
      <c r="C54">
        <v>8359322</v>
      </c>
      <c r="E54">
        <v>423</v>
      </c>
      <c r="F54" s="7"/>
      <c r="G54" s="31"/>
      <c r="I54" s="14">
        <v>145768</v>
      </c>
      <c r="K54">
        <v>464888</v>
      </c>
      <c r="M54">
        <v>339</v>
      </c>
      <c r="N54" s="7"/>
      <c r="O54" s="31"/>
    </row>
    <row r="55" spans="1:15" x14ac:dyDescent="0.3">
      <c r="A55" s="14">
        <v>614844</v>
      </c>
      <c r="C55">
        <v>8359244</v>
      </c>
      <c r="E55">
        <v>463</v>
      </c>
      <c r="F55" s="7"/>
      <c r="I55" s="14">
        <v>144782</v>
      </c>
      <c r="K55">
        <v>465423</v>
      </c>
      <c r="M55">
        <v>441</v>
      </c>
      <c r="N55" s="7"/>
    </row>
    <row r="56" spans="1:15" ht="15" thickBot="1" x14ac:dyDescent="0.35">
      <c r="A56" s="8">
        <v>614857</v>
      </c>
      <c r="B56" s="9"/>
      <c r="C56" s="9">
        <v>8359776</v>
      </c>
      <c r="D56" s="9"/>
      <c r="E56" s="9">
        <v>430</v>
      </c>
      <c r="F56" s="10"/>
      <c r="I56" s="8">
        <v>144514</v>
      </c>
      <c r="J56" s="9"/>
      <c r="K56" s="9">
        <v>464474</v>
      </c>
      <c r="L56" s="9"/>
      <c r="M56" s="9">
        <v>498</v>
      </c>
      <c r="N56" s="10"/>
    </row>
    <row r="57" spans="1:15" ht="15" thickBot="1" x14ac:dyDescent="0.35">
      <c r="A57" s="1">
        <f>AVERAGE(A47:A56)</f>
        <v>615306.6</v>
      </c>
      <c r="C57" s="1">
        <f>AVERAGE(C47:C56)</f>
        <v>8358794</v>
      </c>
      <c r="E57" s="1">
        <f>AVERAGE(E47:E56)</f>
        <v>428.8</v>
      </c>
      <c r="I57" s="1">
        <f>AVERAGE(I47:I56)</f>
        <v>146087.4</v>
      </c>
      <c r="K57" s="1">
        <f>AVERAGE(K47:K56)</f>
        <v>465710.1</v>
      </c>
      <c r="M57" s="1">
        <f>AVERAGE(M47:M56)</f>
        <v>442.9</v>
      </c>
    </row>
    <row r="58" spans="1:15" x14ac:dyDescent="0.3">
      <c r="A58" s="2"/>
      <c r="B58" s="3"/>
      <c r="C58" s="3"/>
      <c r="D58" s="3"/>
      <c r="E58" s="3"/>
      <c r="F58" s="5"/>
      <c r="I58" s="2"/>
      <c r="J58" s="3"/>
      <c r="K58" s="3"/>
      <c r="L58" s="3"/>
      <c r="M58" s="3"/>
      <c r="N58" s="5"/>
    </row>
    <row r="59" spans="1:15" x14ac:dyDescent="0.3">
      <c r="A59" s="6"/>
      <c r="F59" s="7"/>
      <c r="I59" s="6"/>
      <c r="N59" s="7"/>
    </row>
    <row r="60" spans="1:15" x14ac:dyDescent="0.3">
      <c r="A60" s="14"/>
      <c r="F60" s="7"/>
      <c r="I60" s="14"/>
      <c r="N60" s="7"/>
    </row>
    <row r="61" spans="1:15" x14ac:dyDescent="0.3">
      <c r="A61" s="14"/>
      <c r="F61" s="7"/>
      <c r="I61" s="14"/>
      <c r="N61" s="7"/>
    </row>
    <row r="62" spans="1:15" x14ac:dyDescent="0.3">
      <c r="A62" s="14"/>
      <c r="F62" s="7"/>
      <c r="G62" s="31" t="s">
        <v>8</v>
      </c>
      <c r="I62" s="14"/>
      <c r="N62" s="7"/>
      <c r="O62" s="31" t="s">
        <v>8</v>
      </c>
    </row>
    <row r="63" spans="1:15" x14ac:dyDescent="0.3">
      <c r="A63" s="14"/>
      <c r="F63" s="7"/>
      <c r="G63" s="31"/>
      <c r="I63" s="14"/>
      <c r="N63" s="7"/>
      <c r="O63" s="31"/>
    </row>
    <row r="64" spans="1:15" x14ac:dyDescent="0.3">
      <c r="A64" s="14"/>
      <c r="F64" s="7"/>
      <c r="G64" s="31"/>
      <c r="I64" s="14"/>
      <c r="N64" s="7"/>
      <c r="O64" s="31"/>
    </row>
    <row r="65" spans="1:15" x14ac:dyDescent="0.3">
      <c r="A65" s="14"/>
      <c r="F65" s="7"/>
      <c r="G65" s="31"/>
      <c r="I65" s="14"/>
      <c r="N65" s="7"/>
      <c r="O65" s="31"/>
    </row>
    <row r="66" spans="1:15" x14ac:dyDescent="0.3">
      <c r="A66" s="14"/>
      <c r="F66" s="7"/>
      <c r="G66" s="31"/>
      <c r="I66" s="14"/>
      <c r="N66" s="7"/>
      <c r="O66" s="31"/>
    </row>
    <row r="67" spans="1:15" ht="15" thickBot="1" x14ac:dyDescent="0.35">
      <c r="A67" s="8"/>
      <c r="B67" s="9"/>
      <c r="C67" s="9"/>
      <c r="D67" s="9"/>
      <c r="E67" s="9"/>
      <c r="F67" s="10"/>
      <c r="I67" s="8"/>
      <c r="J67" s="9"/>
      <c r="K67" s="9"/>
      <c r="L67" s="9"/>
      <c r="M67" s="9"/>
      <c r="N67" s="10"/>
    </row>
    <row r="68" spans="1:15" ht="15" thickBot="1" x14ac:dyDescent="0.35">
      <c r="A68" s="1"/>
      <c r="I68" s="1"/>
    </row>
    <row r="69" spans="1:15" x14ac:dyDescent="0.3">
      <c r="A69" s="13"/>
      <c r="B69" s="3"/>
      <c r="C69" s="3"/>
      <c r="D69" s="3"/>
      <c r="E69" s="3"/>
      <c r="F69" s="5"/>
      <c r="I69" s="13"/>
      <c r="J69" s="3"/>
      <c r="K69" s="3"/>
      <c r="L69" s="3"/>
      <c r="M69" s="3"/>
      <c r="N69" s="5"/>
    </row>
    <row r="70" spans="1:15" x14ac:dyDescent="0.3">
      <c r="A70" s="6"/>
      <c r="F70" s="7"/>
      <c r="I70" s="6"/>
      <c r="N70" s="7"/>
    </row>
    <row r="71" spans="1:15" x14ac:dyDescent="0.3">
      <c r="A71" s="6"/>
      <c r="F71" s="7"/>
      <c r="I71" s="6"/>
      <c r="N71" s="7"/>
    </row>
    <row r="72" spans="1:15" x14ac:dyDescent="0.3">
      <c r="A72" s="6"/>
      <c r="F72" s="7"/>
      <c r="G72" s="30" t="s">
        <v>9</v>
      </c>
      <c r="I72" s="6"/>
      <c r="N72" s="7"/>
      <c r="O72" s="30" t="s">
        <v>9</v>
      </c>
    </row>
    <row r="73" spans="1:15" x14ac:dyDescent="0.3">
      <c r="A73" s="6"/>
      <c r="F73" s="7"/>
      <c r="G73" s="30"/>
      <c r="I73" s="6"/>
      <c r="N73" s="7"/>
      <c r="O73" s="30"/>
    </row>
    <row r="74" spans="1:15" x14ac:dyDescent="0.3">
      <c r="A74" s="6"/>
      <c r="F74" s="7"/>
      <c r="G74" s="30"/>
      <c r="I74" s="6"/>
      <c r="N74" s="7"/>
      <c r="O74" s="30"/>
    </row>
    <row r="75" spans="1:15" x14ac:dyDescent="0.3">
      <c r="A75" s="6"/>
      <c r="F75" s="7"/>
      <c r="G75" s="30"/>
      <c r="I75" s="6"/>
      <c r="N75" s="7"/>
      <c r="O75" s="30"/>
    </row>
    <row r="76" spans="1:15" x14ac:dyDescent="0.3">
      <c r="A76" s="6"/>
      <c r="F76" s="7"/>
      <c r="G76" s="30"/>
      <c r="I76" s="6"/>
      <c r="N76" s="7"/>
      <c r="O76" s="30"/>
    </row>
    <row r="77" spans="1:15" x14ac:dyDescent="0.3">
      <c r="A77" s="6"/>
      <c r="F77" s="7"/>
      <c r="I77" s="6"/>
      <c r="N77" s="7"/>
    </row>
    <row r="78" spans="1:15" ht="15" thickBot="1" x14ac:dyDescent="0.35">
      <c r="A78" s="11"/>
      <c r="B78" s="9"/>
      <c r="C78" s="9"/>
      <c r="D78" s="9"/>
      <c r="E78" s="9"/>
      <c r="F78" s="10"/>
      <c r="I78" s="11"/>
      <c r="J78" s="9"/>
      <c r="K78" s="9"/>
      <c r="L78" s="9"/>
      <c r="M78" s="9"/>
      <c r="N78" s="10"/>
    </row>
    <row r="91" spans="12:17" x14ac:dyDescent="0.3">
      <c r="L91" s="16" t="s">
        <v>10</v>
      </c>
      <c r="M91" s="16" t="s">
        <v>11</v>
      </c>
      <c r="P91" s="16" t="s">
        <v>12</v>
      </c>
      <c r="Q91" s="16" t="s">
        <v>13</v>
      </c>
    </row>
    <row r="92" spans="12:17" x14ac:dyDescent="0.3">
      <c r="L92" s="17">
        <v>9.8000000000000007</v>
      </c>
      <c r="M92" s="17">
        <v>175134.5</v>
      </c>
      <c r="P92" s="17">
        <v>9.8000000000000007</v>
      </c>
      <c r="Q92" s="17">
        <v>19029.599999999999</v>
      </c>
    </row>
    <row r="93" spans="12:17" x14ac:dyDescent="0.3">
      <c r="L93" s="17">
        <f>2*9.8</f>
        <v>19.600000000000001</v>
      </c>
      <c r="M93" s="17">
        <v>285303.40000000002</v>
      </c>
      <c r="P93" s="17">
        <f>2*9.8</f>
        <v>19.600000000000001</v>
      </c>
      <c r="Q93">
        <v>130350.8</v>
      </c>
    </row>
    <row r="94" spans="12:17" x14ac:dyDescent="0.3">
      <c r="L94" s="17">
        <f>3*9.8</f>
        <v>29.400000000000002</v>
      </c>
      <c r="M94" s="17">
        <v>394861.1</v>
      </c>
      <c r="P94" s="17">
        <f>3*9.8</f>
        <v>29.400000000000002</v>
      </c>
      <c r="Q94" s="17">
        <v>241921.6</v>
      </c>
    </row>
    <row r="95" spans="12:17" x14ac:dyDescent="0.3">
      <c r="L95" s="17">
        <f>4*9.8</f>
        <v>39.200000000000003</v>
      </c>
      <c r="M95" s="17">
        <v>504889.7</v>
      </c>
      <c r="P95" s="17">
        <f>4*9.8</f>
        <v>39.200000000000003</v>
      </c>
      <c r="Q95" s="17">
        <v>353660.1</v>
      </c>
    </row>
    <row r="96" spans="12:17" x14ac:dyDescent="0.3">
      <c r="L96" s="17">
        <f>5*9.8</f>
        <v>49</v>
      </c>
      <c r="M96" s="17">
        <v>615306.6</v>
      </c>
      <c r="P96" s="17">
        <f>5*9.8</f>
        <v>49</v>
      </c>
      <c r="Q96" s="17">
        <v>465710.1</v>
      </c>
    </row>
  </sheetData>
  <mergeCells count="16">
    <mergeCell ref="G2:G5"/>
    <mergeCell ref="G8:G12"/>
    <mergeCell ref="G14:G23"/>
    <mergeCell ref="G25:G34"/>
    <mergeCell ref="G40:G44"/>
    <mergeCell ref="O50:O54"/>
    <mergeCell ref="O62:O66"/>
    <mergeCell ref="O72:O76"/>
    <mergeCell ref="G72:G76"/>
    <mergeCell ref="G62:G66"/>
    <mergeCell ref="G50:G54"/>
    <mergeCell ref="O2:O5"/>
    <mergeCell ref="O8:O12"/>
    <mergeCell ref="O14:O23"/>
    <mergeCell ref="O25:O34"/>
    <mergeCell ref="O40:O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8302-7468-4CE5-9BE7-E1ED91E053A7}">
  <dimension ref="A1:G103"/>
  <sheetViews>
    <sheetView topLeftCell="A32" zoomScale="125" zoomScaleNormal="82" workbookViewId="0">
      <selection activeCell="L47" sqref="L47"/>
    </sheetView>
  </sheetViews>
  <sheetFormatPr defaultRowHeight="14.4" x14ac:dyDescent="0.3"/>
  <cols>
    <col min="1" max="1" width="11.77734375" customWidth="1"/>
    <col min="3" max="3" width="10.77734375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>
        <v>0</v>
      </c>
      <c r="B2">
        <v>5.0000000000000001E-3</v>
      </c>
      <c r="C2">
        <v>1.2999999999999999E-2</v>
      </c>
      <c r="D2" t="e" cm="1">
        <f t="array" aca="1" ref="D2" ca="1">sq(SUM(B2*B2)+(C2*C2))</f>
        <v>#NAME?</v>
      </c>
    </row>
    <row r="3" spans="1:4" x14ac:dyDescent="0.3">
      <c r="A3">
        <v>1</v>
      </c>
      <c r="B3">
        <v>0.23400000000000001</v>
      </c>
      <c r="C3">
        <v>-0.151</v>
      </c>
      <c r="D3">
        <f>ABS(SUM(B3+C3))</f>
        <v>8.3000000000000018E-2</v>
      </c>
    </row>
    <row r="4" spans="1:4" x14ac:dyDescent="0.3">
      <c r="A4">
        <v>1.5</v>
      </c>
      <c r="B4">
        <v>-0.124</v>
      </c>
      <c r="C4">
        <v>-0.51300000000000001</v>
      </c>
      <c r="D4">
        <f t="shared" ref="D4:D49" si="0">ABS(SUM(B4+C4))</f>
        <v>0.63700000000000001</v>
      </c>
    </row>
    <row r="5" spans="1:4" x14ac:dyDescent="0.3">
      <c r="A5">
        <v>2.1</v>
      </c>
      <c r="B5">
        <v>-0.01</v>
      </c>
      <c r="C5">
        <v>-0.70099999999999996</v>
      </c>
      <c r="D5">
        <f t="shared" si="0"/>
        <v>0.71099999999999997</v>
      </c>
    </row>
    <row r="6" spans="1:4" x14ac:dyDescent="0.3">
      <c r="A6">
        <v>2.5</v>
      </c>
      <c r="B6">
        <v>0.21299999999999999</v>
      </c>
      <c r="C6">
        <v>-1</v>
      </c>
      <c r="D6">
        <f t="shared" si="0"/>
        <v>0.78700000000000003</v>
      </c>
    </row>
    <row r="7" spans="1:4" x14ac:dyDescent="0.3">
      <c r="A7">
        <v>3</v>
      </c>
      <c r="B7">
        <v>0.36699999999999999</v>
      </c>
      <c r="C7">
        <v>-1.4079999999999999</v>
      </c>
      <c r="D7">
        <f t="shared" si="0"/>
        <v>1.0409999999999999</v>
      </c>
    </row>
    <row r="8" spans="1:4" x14ac:dyDescent="0.3">
      <c r="A8">
        <v>3.5</v>
      </c>
      <c r="B8">
        <v>0.432</v>
      </c>
      <c r="C8">
        <v>-1.7609999999999999</v>
      </c>
      <c r="D8">
        <f t="shared" si="0"/>
        <v>1.329</v>
      </c>
    </row>
    <row r="9" spans="1:4" x14ac:dyDescent="0.3">
      <c r="A9">
        <v>4</v>
      </c>
      <c r="B9">
        <v>0.27200000000000002</v>
      </c>
      <c r="C9">
        <v>-2.2919999999999998</v>
      </c>
      <c r="D9">
        <f t="shared" si="0"/>
        <v>2.0199999999999996</v>
      </c>
    </row>
    <row r="10" spans="1:4" x14ac:dyDescent="0.3">
      <c r="A10">
        <v>4.5</v>
      </c>
      <c r="B10">
        <v>0.29199999999999998</v>
      </c>
      <c r="C10">
        <v>-2.6859999999999999</v>
      </c>
      <c r="D10">
        <f t="shared" si="0"/>
        <v>2.3940000000000001</v>
      </c>
    </row>
    <row r="11" spans="1:4" x14ac:dyDescent="0.3">
      <c r="A11">
        <v>5</v>
      </c>
      <c r="B11">
        <v>0.55900000000000005</v>
      </c>
      <c r="C11">
        <v>-2.952</v>
      </c>
      <c r="D11">
        <f t="shared" si="0"/>
        <v>2.3929999999999998</v>
      </c>
    </row>
    <row r="12" spans="1:4" x14ac:dyDescent="0.3">
      <c r="A12">
        <v>5.5</v>
      </c>
      <c r="B12">
        <v>0.60499999999999998</v>
      </c>
      <c r="C12">
        <v>-3.1640000000000001</v>
      </c>
      <c r="D12">
        <f t="shared" si="0"/>
        <v>2.5590000000000002</v>
      </c>
    </row>
    <row r="13" spans="1:4" x14ac:dyDescent="0.3">
      <c r="A13">
        <v>6.1</v>
      </c>
      <c r="B13">
        <v>0.73599999999999999</v>
      </c>
      <c r="C13">
        <v>-3.589</v>
      </c>
      <c r="D13">
        <f t="shared" si="0"/>
        <v>2.8529999999999998</v>
      </c>
    </row>
    <row r="14" spans="1:4" x14ac:dyDescent="0.3">
      <c r="A14">
        <v>6.5</v>
      </c>
      <c r="B14">
        <v>0.56299999999999994</v>
      </c>
      <c r="C14">
        <v>-3.83</v>
      </c>
      <c r="D14">
        <f t="shared" si="0"/>
        <v>3.2670000000000003</v>
      </c>
    </row>
    <row r="15" spans="1:4" x14ac:dyDescent="0.3">
      <c r="A15">
        <v>7</v>
      </c>
      <c r="B15">
        <v>0.32700000000000001</v>
      </c>
      <c r="C15">
        <v>-4.22</v>
      </c>
      <c r="D15">
        <f t="shared" si="0"/>
        <v>3.8929999999999998</v>
      </c>
    </row>
    <row r="16" spans="1:4" x14ac:dyDescent="0.3">
      <c r="A16">
        <v>7.5</v>
      </c>
      <c r="B16">
        <v>0.193</v>
      </c>
      <c r="C16">
        <v>-4.5780000000000003</v>
      </c>
      <c r="D16">
        <f t="shared" si="0"/>
        <v>4.3850000000000007</v>
      </c>
    </row>
    <row r="17" spans="1:4" x14ac:dyDescent="0.3">
      <c r="A17">
        <v>8</v>
      </c>
      <c r="B17">
        <v>0.16800000000000001</v>
      </c>
      <c r="C17">
        <v>-4.8449999999999998</v>
      </c>
      <c r="D17">
        <f t="shared" si="0"/>
        <v>4.6769999999999996</v>
      </c>
    </row>
    <row r="18" spans="1:4" x14ac:dyDescent="0.3">
      <c r="A18">
        <v>8.5</v>
      </c>
      <c r="B18">
        <v>0.13300000000000001</v>
      </c>
      <c r="C18">
        <v>-5.1219999999999999</v>
      </c>
      <c r="D18">
        <f t="shared" si="0"/>
        <v>4.9889999999999999</v>
      </c>
    </row>
    <row r="19" spans="1:4" x14ac:dyDescent="0.3">
      <c r="A19">
        <v>9</v>
      </c>
      <c r="B19">
        <v>0.13700000000000001</v>
      </c>
      <c r="C19">
        <v>-5.4610000000000003</v>
      </c>
      <c r="D19">
        <f t="shared" si="0"/>
        <v>5.3239999999999998</v>
      </c>
    </row>
    <row r="20" spans="1:4" x14ac:dyDescent="0.3">
      <c r="A20">
        <v>9.5</v>
      </c>
      <c r="B20">
        <v>6.3E-2</v>
      </c>
      <c r="C20">
        <v>-5.6660000000000004</v>
      </c>
      <c r="D20">
        <f t="shared" si="0"/>
        <v>5.6030000000000006</v>
      </c>
    </row>
    <row r="21" spans="1:4" x14ac:dyDescent="0.3">
      <c r="A21">
        <v>10.1</v>
      </c>
      <c r="B21">
        <v>1.4E-2</v>
      </c>
      <c r="C21">
        <v>-5.9630000000000001</v>
      </c>
      <c r="D21">
        <f t="shared" si="0"/>
        <v>5.9489999999999998</v>
      </c>
    </row>
    <row r="22" spans="1:4" x14ac:dyDescent="0.3">
      <c r="A22">
        <v>10.5</v>
      </c>
      <c r="B22">
        <v>5.6000000000000001E-2</v>
      </c>
      <c r="C22">
        <v>-6.0830000000000002</v>
      </c>
      <c r="D22">
        <f t="shared" si="0"/>
        <v>6.0270000000000001</v>
      </c>
    </row>
    <row r="23" spans="1:4" x14ac:dyDescent="0.3">
      <c r="A23">
        <v>11</v>
      </c>
      <c r="B23">
        <v>0.128</v>
      </c>
      <c r="C23">
        <v>-6.2290000000000001</v>
      </c>
      <c r="D23">
        <f t="shared" si="0"/>
        <v>6.101</v>
      </c>
    </row>
    <row r="24" spans="1:4" x14ac:dyDescent="0.3">
      <c r="A24">
        <v>11.5</v>
      </c>
      <c r="B24">
        <v>0.58299999999999996</v>
      </c>
      <c r="C24">
        <v>-6.6660000000000004</v>
      </c>
      <c r="D24">
        <f t="shared" si="0"/>
        <v>6.0830000000000002</v>
      </c>
    </row>
    <row r="25" spans="1:4" x14ac:dyDescent="0.3">
      <c r="A25">
        <v>12</v>
      </c>
      <c r="B25">
        <v>1.599</v>
      </c>
      <c r="C25">
        <v>-7.6710000000000003</v>
      </c>
      <c r="D25">
        <f t="shared" si="0"/>
        <v>6.0720000000000001</v>
      </c>
    </row>
    <row r="26" spans="1:4" x14ac:dyDescent="0.3">
      <c r="A26">
        <v>12.5</v>
      </c>
      <c r="B26">
        <v>1.7330000000000001</v>
      </c>
      <c r="C26">
        <v>-7.8360000000000003</v>
      </c>
      <c r="D26">
        <f t="shared" si="0"/>
        <v>6.1029999999999998</v>
      </c>
    </row>
    <row r="27" spans="1:4" x14ac:dyDescent="0.3">
      <c r="A27">
        <v>13</v>
      </c>
      <c r="B27">
        <v>1.8680000000000001</v>
      </c>
      <c r="C27">
        <v>-8.1419999999999995</v>
      </c>
      <c r="D27">
        <f t="shared" si="0"/>
        <v>6.2739999999999991</v>
      </c>
    </row>
    <row r="28" spans="1:4" x14ac:dyDescent="0.3">
      <c r="A28">
        <v>13.5</v>
      </c>
      <c r="B28">
        <v>1.909</v>
      </c>
      <c r="C28">
        <v>-8.2729999999999997</v>
      </c>
      <c r="D28">
        <f t="shared" si="0"/>
        <v>6.3639999999999999</v>
      </c>
    </row>
    <row r="29" spans="1:4" x14ac:dyDescent="0.3">
      <c r="A29">
        <v>14.1</v>
      </c>
      <c r="B29">
        <v>0.78600000000000003</v>
      </c>
      <c r="C29">
        <v>-9.3670000000000009</v>
      </c>
      <c r="D29">
        <f t="shared" si="0"/>
        <v>8.5810000000000013</v>
      </c>
    </row>
    <row r="30" spans="1:4" x14ac:dyDescent="0.3">
      <c r="A30">
        <v>14.5</v>
      </c>
      <c r="B30">
        <v>0.80500000000000005</v>
      </c>
      <c r="C30">
        <v>-9.4760000000000009</v>
      </c>
      <c r="D30">
        <f t="shared" si="0"/>
        <v>8.6710000000000012</v>
      </c>
    </row>
    <row r="31" spans="1:4" x14ac:dyDescent="0.3">
      <c r="A31">
        <v>15</v>
      </c>
      <c r="B31">
        <v>0.66600000000000004</v>
      </c>
      <c r="C31">
        <v>-9.702</v>
      </c>
      <c r="D31">
        <f t="shared" si="0"/>
        <v>9.0359999999999996</v>
      </c>
    </row>
    <row r="32" spans="1:4" x14ac:dyDescent="0.3">
      <c r="A32">
        <v>15.5</v>
      </c>
      <c r="B32">
        <v>0.51600000000000001</v>
      </c>
      <c r="C32">
        <v>-9.9819999999999993</v>
      </c>
      <c r="D32">
        <f t="shared" si="0"/>
        <v>9.4659999999999993</v>
      </c>
    </row>
    <row r="33" spans="1:4" x14ac:dyDescent="0.3">
      <c r="A33">
        <v>16</v>
      </c>
      <c r="B33">
        <v>0.498</v>
      </c>
      <c r="C33">
        <v>-10.288</v>
      </c>
      <c r="D33">
        <f t="shared" si="0"/>
        <v>9.7900000000000009</v>
      </c>
    </row>
    <row r="34" spans="1:4" x14ac:dyDescent="0.3">
      <c r="A34">
        <v>16.5</v>
      </c>
      <c r="B34">
        <v>0.19600000000000001</v>
      </c>
      <c r="C34">
        <v>-10.664</v>
      </c>
      <c r="D34">
        <f t="shared" si="0"/>
        <v>10.468</v>
      </c>
    </row>
    <row r="35" spans="1:4" x14ac:dyDescent="0.3">
      <c r="A35">
        <v>17</v>
      </c>
      <c r="B35">
        <v>0.155</v>
      </c>
      <c r="C35">
        <v>-10.904</v>
      </c>
      <c r="D35">
        <f t="shared" si="0"/>
        <v>10.749000000000001</v>
      </c>
    </row>
    <row r="36" spans="1:4" x14ac:dyDescent="0.3">
      <c r="A36">
        <v>17.5</v>
      </c>
      <c r="B36">
        <v>0.1</v>
      </c>
      <c r="C36">
        <v>-10.949</v>
      </c>
      <c r="D36">
        <f t="shared" si="0"/>
        <v>10.849</v>
      </c>
    </row>
    <row r="37" spans="1:4" x14ac:dyDescent="0.3">
      <c r="A37">
        <v>18.100000000000001</v>
      </c>
      <c r="B37">
        <v>-8.3000000000000004E-2</v>
      </c>
      <c r="C37">
        <v>-11.111000000000001</v>
      </c>
      <c r="D37">
        <f t="shared" si="0"/>
        <v>11.194000000000001</v>
      </c>
    </row>
    <row r="38" spans="1:4" x14ac:dyDescent="0.3">
      <c r="A38">
        <v>18.5</v>
      </c>
      <c r="B38">
        <v>-3.3000000000000002E-2</v>
      </c>
      <c r="C38">
        <v>-11.285</v>
      </c>
      <c r="D38">
        <f t="shared" si="0"/>
        <v>11.318</v>
      </c>
    </row>
    <row r="39" spans="1:4" x14ac:dyDescent="0.3">
      <c r="A39">
        <v>19</v>
      </c>
      <c r="B39">
        <v>-0.20499999999999999</v>
      </c>
      <c r="C39">
        <v>-11.367000000000001</v>
      </c>
      <c r="D39">
        <f t="shared" si="0"/>
        <v>11.572000000000001</v>
      </c>
    </row>
    <row r="40" spans="1:4" x14ac:dyDescent="0.3">
      <c r="A40">
        <v>19.5</v>
      </c>
      <c r="B40">
        <v>0.95499999999999996</v>
      </c>
      <c r="C40">
        <v>-12.286</v>
      </c>
      <c r="D40">
        <f t="shared" si="0"/>
        <v>11.331</v>
      </c>
    </row>
    <row r="41" spans="1:4" x14ac:dyDescent="0.3">
      <c r="A41">
        <v>20</v>
      </c>
      <c r="B41">
        <v>1.302</v>
      </c>
      <c r="C41">
        <v>-12.901999999999999</v>
      </c>
      <c r="D41">
        <f t="shared" si="0"/>
        <v>11.6</v>
      </c>
    </row>
    <row r="42" spans="1:4" x14ac:dyDescent="0.3">
      <c r="A42">
        <v>20.5</v>
      </c>
      <c r="B42">
        <v>1.6379999999999999</v>
      </c>
      <c r="C42">
        <v>-13.305</v>
      </c>
      <c r="D42">
        <f t="shared" si="0"/>
        <v>11.667</v>
      </c>
    </row>
    <row r="43" spans="1:4" x14ac:dyDescent="0.3">
      <c r="A43">
        <v>21</v>
      </c>
      <c r="B43">
        <v>1.81</v>
      </c>
      <c r="C43">
        <v>-13.648999999999999</v>
      </c>
      <c r="D43">
        <f t="shared" si="0"/>
        <v>11.838999999999999</v>
      </c>
    </row>
    <row r="44" spans="1:4" x14ac:dyDescent="0.3">
      <c r="A44">
        <v>21.5</v>
      </c>
      <c r="B44">
        <v>1.994</v>
      </c>
      <c r="C44">
        <v>-13.917999999999999</v>
      </c>
      <c r="D44">
        <f t="shared" si="0"/>
        <v>11.923999999999999</v>
      </c>
    </row>
    <row r="45" spans="1:4" x14ac:dyDescent="0.3">
      <c r="A45">
        <v>22.1</v>
      </c>
      <c r="B45">
        <v>2.1339999999999999</v>
      </c>
      <c r="C45">
        <v>-14.27</v>
      </c>
      <c r="D45">
        <f t="shared" si="0"/>
        <v>12.135999999999999</v>
      </c>
    </row>
    <row r="46" spans="1:4" x14ac:dyDescent="0.3">
      <c r="A46">
        <v>22.5</v>
      </c>
      <c r="B46">
        <v>0.59799999999999998</v>
      </c>
      <c r="C46">
        <v>-15.25</v>
      </c>
      <c r="D46">
        <f t="shared" si="0"/>
        <v>14.651999999999999</v>
      </c>
    </row>
    <row r="47" spans="1:4" x14ac:dyDescent="0.3">
      <c r="A47">
        <v>23</v>
      </c>
      <c r="B47">
        <v>0.26700000000000002</v>
      </c>
      <c r="C47">
        <v>-15.428000000000001</v>
      </c>
      <c r="D47">
        <f t="shared" si="0"/>
        <v>15.161000000000001</v>
      </c>
    </row>
    <row r="48" spans="1:4" x14ac:dyDescent="0.3">
      <c r="A48">
        <v>23.5</v>
      </c>
      <c r="B48">
        <v>-3.9E-2</v>
      </c>
      <c r="C48">
        <v>-15.747</v>
      </c>
      <c r="D48">
        <f t="shared" si="0"/>
        <v>15.786</v>
      </c>
    </row>
    <row r="49" spans="1:7" x14ac:dyDescent="0.3">
      <c r="A49">
        <v>24</v>
      </c>
      <c r="B49">
        <v>-0.16400000000000001</v>
      </c>
      <c r="C49">
        <v>-15.98</v>
      </c>
      <c r="D49">
        <f t="shared" si="0"/>
        <v>16.144000000000002</v>
      </c>
    </row>
    <row r="55" spans="1:7" x14ac:dyDescent="0.3">
      <c r="F55" t="s">
        <v>18</v>
      </c>
      <c r="G55" t="s">
        <v>19</v>
      </c>
    </row>
    <row r="56" spans="1:7" x14ac:dyDescent="0.3">
      <c r="F56">
        <v>0</v>
      </c>
      <c r="G56">
        <f xml:space="preserve"> SQRT(0.018)</f>
        <v>0.13416407864998739</v>
      </c>
    </row>
    <row r="57" spans="1:7" x14ac:dyDescent="0.3">
      <c r="F57">
        <v>1</v>
      </c>
      <c r="G57">
        <v>8.3000000000000018E-2</v>
      </c>
    </row>
    <row r="58" spans="1:7" x14ac:dyDescent="0.3">
      <c r="F58">
        <v>1.5</v>
      </c>
      <c r="G58">
        <v>0.63700000000000001</v>
      </c>
    </row>
    <row r="59" spans="1:7" x14ac:dyDescent="0.3">
      <c r="F59">
        <v>2.1</v>
      </c>
      <c r="G59">
        <v>0.71099999999999997</v>
      </c>
    </row>
    <row r="60" spans="1:7" x14ac:dyDescent="0.3">
      <c r="F60">
        <v>2.5</v>
      </c>
      <c r="G60">
        <v>0.78700000000000003</v>
      </c>
    </row>
    <row r="61" spans="1:7" x14ac:dyDescent="0.3">
      <c r="F61">
        <v>3</v>
      </c>
      <c r="G61">
        <v>1.0409999999999999</v>
      </c>
    </row>
    <row r="62" spans="1:7" x14ac:dyDescent="0.3">
      <c r="F62">
        <v>3.5</v>
      </c>
      <c r="G62">
        <v>1.329</v>
      </c>
    </row>
    <row r="63" spans="1:7" x14ac:dyDescent="0.3">
      <c r="F63">
        <v>4</v>
      </c>
      <c r="G63">
        <v>2.0199999999999996</v>
      </c>
    </row>
    <row r="64" spans="1:7" x14ac:dyDescent="0.3">
      <c r="F64">
        <v>4.5</v>
      </c>
      <c r="G64">
        <v>2.3940000000000001</v>
      </c>
    </row>
    <row r="65" spans="6:7" x14ac:dyDescent="0.3">
      <c r="F65">
        <v>5</v>
      </c>
      <c r="G65">
        <v>2.3929999999999998</v>
      </c>
    </row>
    <row r="66" spans="6:7" x14ac:dyDescent="0.3">
      <c r="F66">
        <v>5.5</v>
      </c>
      <c r="G66">
        <v>2.5590000000000002</v>
      </c>
    </row>
    <row r="67" spans="6:7" x14ac:dyDescent="0.3">
      <c r="F67">
        <v>6.1</v>
      </c>
      <c r="G67">
        <v>2.8529999999999998</v>
      </c>
    </row>
    <row r="68" spans="6:7" x14ac:dyDescent="0.3">
      <c r="F68">
        <v>6.5</v>
      </c>
      <c r="G68">
        <v>3.2670000000000003</v>
      </c>
    </row>
    <row r="69" spans="6:7" x14ac:dyDescent="0.3">
      <c r="F69">
        <v>7</v>
      </c>
      <c r="G69">
        <v>3.8929999999999998</v>
      </c>
    </row>
    <row r="70" spans="6:7" x14ac:dyDescent="0.3">
      <c r="F70">
        <v>7.5</v>
      </c>
      <c r="G70">
        <v>4.3850000000000007</v>
      </c>
    </row>
    <row r="71" spans="6:7" x14ac:dyDescent="0.3">
      <c r="F71">
        <v>8</v>
      </c>
      <c r="G71">
        <v>4.6769999999999996</v>
      </c>
    </row>
    <row r="72" spans="6:7" x14ac:dyDescent="0.3">
      <c r="F72">
        <v>8.5</v>
      </c>
      <c r="G72">
        <v>4.9889999999999999</v>
      </c>
    </row>
    <row r="73" spans="6:7" x14ac:dyDescent="0.3">
      <c r="F73">
        <v>9</v>
      </c>
      <c r="G73">
        <v>5.3239999999999998</v>
      </c>
    </row>
    <row r="74" spans="6:7" x14ac:dyDescent="0.3">
      <c r="F74">
        <v>9.5</v>
      </c>
      <c r="G74">
        <v>5.6030000000000006</v>
      </c>
    </row>
    <row r="75" spans="6:7" x14ac:dyDescent="0.3">
      <c r="F75">
        <v>10.1</v>
      </c>
      <c r="G75">
        <v>5.9489999999999998</v>
      </c>
    </row>
    <row r="76" spans="6:7" x14ac:dyDescent="0.3">
      <c r="F76">
        <v>10.5</v>
      </c>
      <c r="G76">
        <v>6.0270000000000001</v>
      </c>
    </row>
    <row r="77" spans="6:7" x14ac:dyDescent="0.3">
      <c r="F77">
        <v>11</v>
      </c>
      <c r="G77">
        <v>6.101</v>
      </c>
    </row>
    <row r="78" spans="6:7" x14ac:dyDescent="0.3">
      <c r="F78">
        <v>11.5</v>
      </c>
      <c r="G78">
        <v>6.0830000000000002</v>
      </c>
    </row>
    <row r="79" spans="6:7" x14ac:dyDescent="0.3">
      <c r="F79">
        <v>12</v>
      </c>
      <c r="G79">
        <v>6.0720000000000001</v>
      </c>
    </row>
    <row r="80" spans="6:7" x14ac:dyDescent="0.3">
      <c r="F80">
        <v>12.5</v>
      </c>
      <c r="G80">
        <v>6.1029999999999998</v>
      </c>
    </row>
    <row r="81" spans="6:7" x14ac:dyDescent="0.3">
      <c r="F81">
        <v>13</v>
      </c>
      <c r="G81">
        <v>6.2739999999999991</v>
      </c>
    </row>
    <row r="82" spans="6:7" x14ac:dyDescent="0.3">
      <c r="F82">
        <v>13.5</v>
      </c>
      <c r="G82">
        <v>6.3639999999999999</v>
      </c>
    </row>
    <row r="83" spans="6:7" x14ac:dyDescent="0.3">
      <c r="F83">
        <v>14.1</v>
      </c>
      <c r="G83">
        <v>8.5810000000000013</v>
      </c>
    </row>
    <row r="84" spans="6:7" x14ac:dyDescent="0.3">
      <c r="F84">
        <v>14.5</v>
      </c>
      <c r="G84">
        <v>8.6710000000000012</v>
      </c>
    </row>
    <row r="85" spans="6:7" x14ac:dyDescent="0.3">
      <c r="F85">
        <v>15</v>
      </c>
      <c r="G85">
        <v>9.0359999999999996</v>
      </c>
    </row>
    <row r="86" spans="6:7" x14ac:dyDescent="0.3">
      <c r="F86">
        <v>15.5</v>
      </c>
      <c r="G86">
        <v>9.4659999999999993</v>
      </c>
    </row>
    <row r="87" spans="6:7" x14ac:dyDescent="0.3">
      <c r="F87">
        <v>16</v>
      </c>
      <c r="G87">
        <v>9.7900000000000009</v>
      </c>
    </row>
    <row r="88" spans="6:7" x14ac:dyDescent="0.3">
      <c r="F88">
        <v>16.5</v>
      </c>
      <c r="G88">
        <v>10.468</v>
      </c>
    </row>
    <row r="89" spans="6:7" x14ac:dyDescent="0.3">
      <c r="F89">
        <v>17</v>
      </c>
      <c r="G89">
        <v>10.749000000000001</v>
      </c>
    </row>
    <row r="90" spans="6:7" x14ac:dyDescent="0.3">
      <c r="F90">
        <v>17.5</v>
      </c>
      <c r="G90">
        <v>10.849</v>
      </c>
    </row>
    <row r="91" spans="6:7" x14ac:dyDescent="0.3">
      <c r="F91">
        <v>18.100000000000001</v>
      </c>
      <c r="G91">
        <v>11.194000000000001</v>
      </c>
    </row>
    <row r="92" spans="6:7" x14ac:dyDescent="0.3">
      <c r="F92">
        <v>18.5</v>
      </c>
      <c r="G92">
        <v>11.318</v>
      </c>
    </row>
    <row r="93" spans="6:7" x14ac:dyDescent="0.3">
      <c r="F93">
        <v>19</v>
      </c>
      <c r="G93">
        <v>11.572000000000001</v>
      </c>
    </row>
    <row r="94" spans="6:7" x14ac:dyDescent="0.3">
      <c r="F94">
        <v>19.5</v>
      </c>
      <c r="G94">
        <v>11.331</v>
      </c>
    </row>
    <row r="95" spans="6:7" x14ac:dyDescent="0.3">
      <c r="F95">
        <v>20</v>
      </c>
      <c r="G95">
        <v>11.6</v>
      </c>
    </row>
    <row r="96" spans="6:7" x14ac:dyDescent="0.3">
      <c r="F96">
        <v>20.5</v>
      </c>
      <c r="G96">
        <v>11.667</v>
      </c>
    </row>
    <row r="97" spans="6:7" x14ac:dyDescent="0.3">
      <c r="F97">
        <v>21</v>
      </c>
      <c r="G97">
        <v>11.838999999999999</v>
      </c>
    </row>
    <row r="98" spans="6:7" x14ac:dyDescent="0.3">
      <c r="F98">
        <v>21.5</v>
      </c>
      <c r="G98">
        <v>11.923999999999999</v>
      </c>
    </row>
    <row r="99" spans="6:7" x14ac:dyDescent="0.3">
      <c r="F99">
        <v>22.1</v>
      </c>
      <c r="G99">
        <v>12.135999999999999</v>
      </c>
    </row>
    <row r="100" spans="6:7" x14ac:dyDescent="0.3">
      <c r="F100">
        <v>22.5</v>
      </c>
      <c r="G100">
        <v>14.651999999999999</v>
      </c>
    </row>
    <row r="101" spans="6:7" x14ac:dyDescent="0.3">
      <c r="F101">
        <v>23</v>
      </c>
      <c r="G101">
        <v>15.161000000000001</v>
      </c>
    </row>
    <row r="102" spans="6:7" x14ac:dyDescent="0.3">
      <c r="F102">
        <v>23.5</v>
      </c>
      <c r="G102">
        <v>15.786</v>
      </c>
    </row>
    <row r="103" spans="6:7" x14ac:dyDescent="0.3">
      <c r="F103">
        <v>24</v>
      </c>
      <c r="G103">
        <v>16.144000000000002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C1FD-3A3E-46D2-8C85-A9CABBBE65E7}">
  <dimension ref="A1:BO172"/>
  <sheetViews>
    <sheetView tabSelected="1" topLeftCell="R1" zoomScale="37" workbookViewId="0">
      <selection activeCell="AW64" sqref="AW64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0" bestFit="1" customWidth="1"/>
    <col min="7" max="7" width="9" bestFit="1" customWidth="1"/>
    <col min="8" max="8" width="5.88671875" customWidth="1"/>
    <col min="9" max="9" width="10.33203125" customWidth="1"/>
    <col min="10" max="17" width="9" bestFit="1" customWidth="1"/>
  </cols>
  <sheetData>
    <row r="1" spans="1:64" ht="15" thickBot="1" x14ac:dyDescent="0.35">
      <c r="A1" s="15" t="s">
        <v>0</v>
      </c>
      <c r="B1" s="1"/>
      <c r="C1" s="1" t="s">
        <v>1</v>
      </c>
      <c r="D1" s="1"/>
      <c r="E1" s="1" t="s">
        <v>2</v>
      </c>
      <c r="I1" s="1" t="s">
        <v>0</v>
      </c>
      <c r="J1" s="1"/>
      <c r="K1" s="15" t="s">
        <v>1</v>
      </c>
      <c r="L1" s="1"/>
      <c r="M1" s="1" t="s">
        <v>2</v>
      </c>
      <c r="N1" s="1"/>
      <c r="AA1" s="1" t="s">
        <v>0</v>
      </c>
      <c r="AB1" s="1"/>
      <c r="AC1" s="15" t="s">
        <v>1</v>
      </c>
      <c r="AD1" s="1"/>
      <c r="AE1" s="1" t="s">
        <v>2</v>
      </c>
      <c r="AF1" s="1"/>
      <c r="BB1" s="1" t="s">
        <v>0</v>
      </c>
      <c r="BC1" s="1"/>
      <c r="BD1" s="15" t="s">
        <v>1</v>
      </c>
      <c r="BE1" s="1"/>
      <c r="BF1" s="1" t="s">
        <v>2</v>
      </c>
      <c r="BG1" s="1"/>
    </row>
    <row r="2" spans="1:64" x14ac:dyDescent="0.3">
      <c r="A2" s="18">
        <v>-82523</v>
      </c>
      <c r="B2" s="21"/>
      <c r="C2" s="19">
        <v>8215</v>
      </c>
      <c r="D2" s="19"/>
      <c r="E2" s="19"/>
      <c r="F2" s="20"/>
      <c r="G2" s="31" t="s">
        <v>3</v>
      </c>
      <c r="I2" s="2"/>
      <c r="J2" s="3">
        <v>-66114</v>
      </c>
      <c r="K2" s="4">
        <v>-8367</v>
      </c>
      <c r="L2" s="3"/>
      <c r="M2" s="3"/>
      <c r="N2" s="5"/>
      <c r="O2" s="31" t="s">
        <v>3</v>
      </c>
      <c r="Z2">
        <v>0</v>
      </c>
      <c r="AA2" s="2"/>
      <c r="AB2" s="3"/>
      <c r="AC2" s="4">
        <v>-6480</v>
      </c>
      <c r="AD2" s="3"/>
      <c r="AE2" s="3"/>
      <c r="AF2" s="5"/>
      <c r="BA2">
        <v>0</v>
      </c>
      <c r="BB2" s="2"/>
      <c r="BC2" s="3"/>
      <c r="BD2" s="4">
        <v>-82070</v>
      </c>
      <c r="BE2" s="3"/>
      <c r="BF2" s="3"/>
      <c r="BG2" s="5"/>
    </row>
    <row r="3" spans="1:64" x14ac:dyDescent="0.3">
      <c r="A3" s="14">
        <v>-82518</v>
      </c>
      <c r="C3">
        <v>7907</v>
      </c>
      <c r="F3" s="7"/>
      <c r="G3" s="31"/>
      <c r="I3" s="6"/>
      <c r="J3">
        <v>-66329</v>
      </c>
      <c r="K3" s="1">
        <v>-8319</v>
      </c>
      <c r="N3" s="7"/>
      <c r="O3" s="31"/>
      <c r="AA3" s="6"/>
      <c r="AC3" s="1">
        <v>-6561</v>
      </c>
      <c r="AF3" s="7"/>
      <c r="BB3" s="6"/>
      <c r="BD3" s="1">
        <v>-82073</v>
      </c>
      <c r="BG3" s="7"/>
    </row>
    <row r="4" spans="1:64" x14ac:dyDescent="0.3">
      <c r="A4" s="14">
        <v>-82631</v>
      </c>
      <c r="C4">
        <v>8158</v>
      </c>
      <c r="F4" s="7"/>
      <c r="G4" s="31"/>
      <c r="I4" s="6"/>
      <c r="J4">
        <v>-66433</v>
      </c>
      <c r="K4" s="1">
        <v>-8261</v>
      </c>
      <c r="N4" s="7"/>
      <c r="O4" s="31"/>
      <c r="AA4" s="6"/>
      <c r="AC4" s="1">
        <v>-6888</v>
      </c>
      <c r="AF4" s="7"/>
      <c r="BB4" s="6"/>
      <c r="BD4" s="1">
        <v>-81920</v>
      </c>
      <c r="BG4" s="7"/>
    </row>
    <row r="5" spans="1:64" x14ac:dyDescent="0.3">
      <c r="A5" s="14">
        <v>-82426</v>
      </c>
      <c r="C5">
        <v>8184</v>
      </c>
      <c r="F5" s="7"/>
      <c r="G5" s="31"/>
      <c r="I5" s="6"/>
      <c r="J5">
        <v>-66395</v>
      </c>
      <c r="K5" s="1">
        <v>-8309</v>
      </c>
      <c r="N5" s="7"/>
      <c r="O5" s="31"/>
      <c r="AA5" s="6"/>
      <c r="AC5" s="1">
        <v>-7074</v>
      </c>
      <c r="AF5" s="7"/>
      <c r="BB5" s="6"/>
      <c r="BD5" s="1">
        <v>-81846</v>
      </c>
      <c r="BG5" s="7"/>
    </row>
    <row r="6" spans="1:64" x14ac:dyDescent="0.3">
      <c r="A6" s="14">
        <v>-82579</v>
      </c>
      <c r="C6">
        <v>8137</v>
      </c>
      <c r="F6" s="7"/>
      <c r="I6" s="6"/>
      <c r="J6">
        <v>-66320</v>
      </c>
      <c r="K6" s="1">
        <v>-8327</v>
      </c>
      <c r="N6" s="7"/>
      <c r="AA6" s="6"/>
      <c r="AC6" s="1">
        <v>-7284</v>
      </c>
      <c r="AF6" s="7"/>
      <c r="BB6" s="6"/>
      <c r="BD6" s="1">
        <v>-81996</v>
      </c>
      <c r="BG6" s="7"/>
    </row>
    <row r="7" spans="1:64" x14ac:dyDescent="0.3">
      <c r="A7" s="14">
        <v>-82482</v>
      </c>
      <c r="C7">
        <v>8238</v>
      </c>
      <c r="F7" s="7"/>
      <c r="I7" s="6"/>
      <c r="J7">
        <v>-66458</v>
      </c>
      <c r="K7" s="1">
        <v>-8343</v>
      </c>
      <c r="N7" s="7"/>
      <c r="AA7" s="6"/>
      <c r="AC7" s="1">
        <v>-7702</v>
      </c>
      <c r="AF7" s="7"/>
      <c r="BB7" s="6"/>
      <c r="BD7" s="1">
        <v>-82106</v>
      </c>
      <c r="BG7" s="7"/>
    </row>
    <row r="8" spans="1:64" x14ac:dyDescent="0.3">
      <c r="A8" s="14">
        <v>-82560</v>
      </c>
      <c r="C8">
        <v>8286</v>
      </c>
      <c r="F8" s="7"/>
      <c r="G8" s="31"/>
      <c r="I8" s="6"/>
      <c r="J8">
        <v>-66256</v>
      </c>
      <c r="K8" s="1">
        <v>-8400</v>
      </c>
      <c r="N8" s="7"/>
      <c r="O8" s="31"/>
      <c r="AA8" s="6"/>
      <c r="AC8" s="1">
        <v>-7170</v>
      </c>
      <c r="AF8" s="7"/>
      <c r="BB8" s="6"/>
      <c r="BD8" s="1">
        <v>-82087</v>
      </c>
      <c r="BG8" s="7"/>
    </row>
    <row r="9" spans="1:64" x14ac:dyDescent="0.3">
      <c r="A9" s="14">
        <v>-82521</v>
      </c>
      <c r="C9">
        <v>8299</v>
      </c>
      <c r="F9" s="7"/>
      <c r="G9" s="31"/>
      <c r="I9" s="6"/>
      <c r="J9">
        <v>-66227</v>
      </c>
      <c r="K9" s="1">
        <v>-8355</v>
      </c>
      <c r="N9" s="7"/>
      <c r="O9" s="31"/>
      <c r="AA9" s="6"/>
      <c r="AC9" s="1">
        <v>-6538</v>
      </c>
      <c r="AF9" s="7"/>
      <c r="BB9" s="6"/>
      <c r="BD9" s="1">
        <v>-81805</v>
      </c>
      <c r="BG9" s="7"/>
    </row>
    <row r="10" spans="1:64" x14ac:dyDescent="0.3">
      <c r="A10" s="14">
        <v>-82649</v>
      </c>
      <c r="C10">
        <v>8211</v>
      </c>
      <c r="F10" s="7"/>
      <c r="G10" s="31"/>
      <c r="I10" s="6"/>
      <c r="J10">
        <v>-66498</v>
      </c>
      <c r="K10" s="1">
        <v>-8308</v>
      </c>
      <c r="N10" s="7"/>
      <c r="O10" s="31"/>
      <c r="AA10" s="6"/>
      <c r="AC10" s="1">
        <v>-6641</v>
      </c>
      <c r="AF10" s="7"/>
      <c r="BB10" s="6"/>
      <c r="BD10" s="1">
        <v>-82017</v>
      </c>
      <c r="BG10" s="7"/>
    </row>
    <row r="11" spans="1:64" ht="15" thickBot="1" x14ac:dyDescent="0.35">
      <c r="A11" s="8">
        <v>-82563</v>
      </c>
      <c r="B11" s="9"/>
      <c r="C11" s="9">
        <v>8363</v>
      </c>
      <c r="D11" s="9"/>
      <c r="E11" s="9"/>
      <c r="F11" s="10"/>
      <c r="G11" s="31"/>
      <c r="I11" s="11"/>
      <c r="J11" s="9">
        <v>-66446</v>
      </c>
      <c r="K11" s="12">
        <v>-8314</v>
      </c>
      <c r="L11" s="9"/>
      <c r="M11" s="9"/>
      <c r="N11" s="10"/>
      <c r="O11" s="31"/>
      <c r="AA11" s="11"/>
      <c r="AB11" s="9"/>
      <c r="AC11" s="12">
        <v>-6856</v>
      </c>
      <c r="AD11" s="9"/>
      <c r="AE11" s="9"/>
      <c r="AF11" s="10"/>
      <c r="BB11" s="11"/>
      <c r="BC11" s="9"/>
      <c r="BD11" s="12">
        <v>-82283</v>
      </c>
      <c r="BE11" s="9"/>
      <c r="BF11" s="9"/>
      <c r="BG11" s="10"/>
      <c r="BH11" s="16" t="s">
        <v>31</v>
      </c>
      <c r="BI11" s="29" t="s">
        <v>10</v>
      </c>
      <c r="BJ11" s="16" t="s">
        <v>11</v>
      </c>
      <c r="BK11" s="16" t="s">
        <v>20</v>
      </c>
      <c r="BL11" s="16" t="s">
        <v>22</v>
      </c>
    </row>
    <row r="12" spans="1:64" x14ac:dyDescent="0.3">
      <c r="A12" s="1">
        <f>AVERAGE(A2:A11)</f>
        <v>-82545.2</v>
      </c>
      <c r="B12" s="1"/>
      <c r="C12" s="1">
        <f>AVERAGE(C2:C11)</f>
        <v>8199.7999999999993</v>
      </c>
      <c r="E12" s="1" t="e">
        <f>AVERAGE(E2:E11)</f>
        <v>#DIV/0!</v>
      </c>
      <c r="G12" s="31"/>
      <c r="I12" s="1" t="e">
        <f>AVERAGE(I2:I11)</f>
        <v>#DIV/0!</v>
      </c>
      <c r="K12" s="1">
        <f>AVERAGE(K2:K11)</f>
        <v>-8330.2999999999993</v>
      </c>
      <c r="M12" s="1" t="e">
        <f>AVERAGE(M2:M11)</f>
        <v>#DIV/0!</v>
      </c>
      <c r="O12" s="31"/>
      <c r="AA12" s="1" t="e">
        <f>AVERAGE(AA2:AA11)</f>
        <v>#DIV/0!</v>
      </c>
      <c r="AC12" s="1">
        <f xml:space="preserve"> AVERAGE(AC2:AC11)</f>
        <v>-6919.4</v>
      </c>
      <c r="AE12" s="1" t="e">
        <f>AVERAGE(AE2:AE11)</f>
        <v>#DIV/0!</v>
      </c>
      <c r="BB12" s="1" t="e">
        <f>AVERAGE(BB2:BB11)</f>
        <v>#DIV/0!</v>
      </c>
      <c r="BD12" s="1">
        <f xml:space="preserve"> AVERAGE(BD2:BD11)</f>
        <v>-82020.3</v>
      </c>
      <c r="BF12" s="1" t="e">
        <f>AVERAGE(BF2:BF11)</f>
        <v>#DIV/0!</v>
      </c>
      <c r="BH12" s="17">
        <v>0</v>
      </c>
      <c r="BI12" s="22">
        <v>0</v>
      </c>
      <c r="BJ12" s="17">
        <v>-82020.3</v>
      </c>
      <c r="BK12" s="17">
        <v>-7.4999999999999997E-3</v>
      </c>
      <c r="BL12" s="17">
        <f t="shared" ref="BL12:BL23" si="0" xml:space="preserve"> (BK12-BI12)</f>
        <v>-7.4999999999999997E-3</v>
      </c>
    </row>
    <row r="13" spans="1:64" ht="15" thickBot="1" x14ac:dyDescent="0.35">
      <c r="AI13" s="16" t="s">
        <v>31</v>
      </c>
      <c r="AJ13" s="16" t="s">
        <v>12</v>
      </c>
      <c r="AK13" s="16" t="s">
        <v>13</v>
      </c>
      <c r="AL13" s="16" t="s">
        <v>20</v>
      </c>
      <c r="AM13" s="16" t="s">
        <v>22</v>
      </c>
      <c r="AP13" s="17">
        <v>0.14699999999999999</v>
      </c>
      <c r="AT13" s="16"/>
      <c r="AU13" s="16"/>
      <c r="AV13" s="28"/>
      <c r="AW13" s="28"/>
      <c r="AX13" s="28"/>
      <c r="BH13" s="17">
        <v>0.5</v>
      </c>
      <c r="BI13" s="22">
        <v>4.9050000000000002</v>
      </c>
      <c r="BJ13" s="17">
        <v>-109686.1</v>
      </c>
      <c r="BK13" s="17">
        <v>4.9206999999999992</v>
      </c>
      <c r="BL13" s="17">
        <f t="shared" si="0"/>
        <v>1.5699999999998937E-2</v>
      </c>
    </row>
    <row r="14" spans="1:64" x14ac:dyDescent="0.3">
      <c r="A14" s="18">
        <v>-109877</v>
      </c>
      <c r="B14" s="19"/>
      <c r="C14" s="19">
        <v>7919</v>
      </c>
      <c r="D14" s="19"/>
      <c r="E14" s="19"/>
      <c r="F14" s="20"/>
      <c r="G14" s="30">
        <v>0.5</v>
      </c>
      <c r="I14" s="2"/>
      <c r="J14" s="3">
        <v>-67329</v>
      </c>
      <c r="K14" s="4">
        <v>-35932</v>
      </c>
      <c r="L14" s="3"/>
      <c r="M14" s="3"/>
      <c r="N14" s="5"/>
      <c r="O14" s="31">
        <v>0.5</v>
      </c>
      <c r="Z14">
        <v>0.5</v>
      </c>
      <c r="AA14" s="2"/>
      <c r="AB14" s="3"/>
      <c r="AC14" s="4">
        <v>-34132</v>
      </c>
      <c r="AD14" s="3"/>
      <c r="AE14" s="3"/>
      <c r="AF14" s="5"/>
      <c r="AI14" s="17">
        <v>0</v>
      </c>
      <c r="AJ14" s="17">
        <v>0</v>
      </c>
      <c r="AK14" s="17">
        <v>-6919.4</v>
      </c>
      <c r="AL14" s="17">
        <v>4.9200000000000001E-2</v>
      </c>
      <c r="AM14" s="17">
        <f t="shared" ref="AM14:AM25" si="1">(AJ14-AL14)</f>
        <v>-4.9200000000000001E-2</v>
      </c>
      <c r="AP14" s="17">
        <v>0.06</v>
      </c>
      <c r="AT14" s="17"/>
      <c r="AU14" s="22"/>
      <c r="AV14" s="17"/>
      <c r="AW14" s="17"/>
      <c r="AX14" s="17"/>
      <c r="BA14">
        <v>0.5</v>
      </c>
      <c r="BB14" s="2"/>
      <c r="BC14" s="3"/>
      <c r="BD14" s="4">
        <v>-109702</v>
      </c>
      <c r="BE14" s="3"/>
      <c r="BF14" s="3"/>
      <c r="BG14" s="5"/>
      <c r="BH14" s="17">
        <v>1</v>
      </c>
      <c r="BI14" s="22">
        <v>9.81</v>
      </c>
      <c r="BJ14" s="17">
        <v>-137312.1</v>
      </c>
      <c r="BK14" s="17">
        <v>9.8172000000000033</v>
      </c>
      <c r="BL14" s="17">
        <f t="shared" si="0"/>
        <v>7.2000000000027597E-3</v>
      </c>
    </row>
    <row r="15" spans="1:64" x14ac:dyDescent="0.3">
      <c r="A15" s="14">
        <v>-109841</v>
      </c>
      <c r="C15">
        <v>8003</v>
      </c>
      <c r="F15" s="7"/>
      <c r="G15" s="30"/>
      <c r="I15" s="6"/>
      <c r="J15">
        <v>-67231</v>
      </c>
      <c r="K15" s="1">
        <v>-35896</v>
      </c>
      <c r="N15" s="7"/>
      <c r="O15" s="31"/>
      <c r="AA15" s="6"/>
      <c r="AC15" s="1">
        <v>-34139</v>
      </c>
      <c r="AF15" s="7"/>
      <c r="AI15" s="17">
        <v>0.5</v>
      </c>
      <c r="AJ15" s="17">
        <v>4.9050000000000002</v>
      </c>
      <c r="AK15" s="17">
        <v>-34196</v>
      </c>
      <c r="AL15" s="17">
        <v>4.923</v>
      </c>
      <c r="AM15" s="17">
        <f t="shared" si="1"/>
        <v>-1.7999999999999794E-2</v>
      </c>
      <c r="AP15" s="17">
        <v>1.2E-2</v>
      </c>
      <c r="AT15" s="17"/>
      <c r="AU15" s="22"/>
      <c r="AV15" s="17"/>
      <c r="AW15" s="17"/>
      <c r="AX15" s="17"/>
      <c r="BB15" s="6"/>
      <c r="BD15" s="1">
        <v>-109619</v>
      </c>
      <c r="BG15" s="7"/>
      <c r="BH15" s="17">
        <v>2</v>
      </c>
      <c r="BI15" s="22">
        <v>19.62</v>
      </c>
      <c r="BJ15" s="17">
        <v>-192395.1</v>
      </c>
      <c r="BK15" s="17">
        <v>19.547100000000004</v>
      </c>
      <c r="BL15" s="17">
        <f t="shared" si="0"/>
        <v>-7.2899999999997078E-2</v>
      </c>
    </row>
    <row r="16" spans="1:64" x14ac:dyDescent="0.3">
      <c r="A16" s="14">
        <v>-109751</v>
      </c>
      <c r="C16">
        <v>7861</v>
      </c>
      <c r="F16" s="7"/>
      <c r="G16" s="30"/>
      <c r="I16" s="6"/>
      <c r="J16">
        <v>-67224</v>
      </c>
      <c r="K16" s="1">
        <v>-35902</v>
      </c>
      <c r="N16" s="7"/>
      <c r="O16" s="31"/>
      <c r="AA16" s="6"/>
      <c r="AC16" s="1">
        <v>-34776</v>
      </c>
      <c r="AF16" s="7"/>
      <c r="AI16" s="17">
        <v>1</v>
      </c>
      <c r="AJ16" s="17">
        <v>9.81</v>
      </c>
      <c r="AK16" s="17">
        <v>-61343</v>
      </c>
      <c r="AL16" s="17">
        <v>9.8610000000000007</v>
      </c>
      <c r="AM16" s="17">
        <f>(BK12-BI12)</f>
        <v>-7.4999999999999997E-3</v>
      </c>
      <c r="AP16" s="17">
        <v>3.1E-2</v>
      </c>
      <c r="AT16" s="17"/>
      <c r="AU16" s="22"/>
      <c r="AV16" s="17"/>
      <c r="AW16" s="17"/>
      <c r="AX16" s="17"/>
      <c r="BB16" s="6"/>
      <c r="BD16" s="1">
        <v>-109710</v>
      </c>
      <c r="BG16" s="7"/>
      <c r="BH16" s="17">
        <v>3</v>
      </c>
      <c r="BI16" s="22">
        <v>29.43</v>
      </c>
      <c r="BJ16" s="17">
        <v>-247706.8</v>
      </c>
      <c r="BK16" s="17">
        <v>29.331</v>
      </c>
      <c r="BL16" s="17">
        <f t="shared" si="0"/>
        <v>-9.9000000000000199E-2</v>
      </c>
    </row>
    <row r="17" spans="1:67" x14ac:dyDescent="0.3">
      <c r="A17" s="14">
        <v>-109896</v>
      </c>
      <c r="C17">
        <v>7959</v>
      </c>
      <c r="F17" s="7"/>
      <c r="G17" s="30"/>
      <c r="I17" s="6"/>
      <c r="J17">
        <v>-67298</v>
      </c>
      <c r="K17" s="1">
        <v>-35834</v>
      </c>
      <c r="N17" s="7"/>
      <c r="O17" s="31"/>
      <c r="AA17" s="6"/>
      <c r="AC17" s="1">
        <v>-34346</v>
      </c>
      <c r="AF17" s="7"/>
      <c r="AI17" s="17">
        <v>2</v>
      </c>
      <c r="AJ17" s="17">
        <v>19.62</v>
      </c>
      <c r="AK17" s="17">
        <v>-116287</v>
      </c>
      <c r="AL17" s="17">
        <v>19.666399999999996</v>
      </c>
      <c r="AM17" s="17">
        <f t="shared" si="1"/>
        <v>-4.639999999999489E-2</v>
      </c>
      <c r="AP17" s="17">
        <v>7.2999999999999995E-2</v>
      </c>
      <c r="AT17" s="17"/>
      <c r="AU17" s="22"/>
      <c r="AV17" s="17"/>
      <c r="AW17" s="17"/>
      <c r="AX17" s="17"/>
      <c r="BB17" s="6"/>
      <c r="BD17" s="1">
        <v>-109874</v>
      </c>
      <c r="BG17" s="7"/>
      <c r="BH17" s="17">
        <v>4</v>
      </c>
      <c r="BI17" s="22">
        <v>39.24</v>
      </c>
      <c r="BJ17" s="17">
        <v>-303152.59999999998</v>
      </c>
      <c r="BK17" s="17">
        <v>39.1785</v>
      </c>
      <c r="BL17" s="17">
        <f t="shared" si="0"/>
        <v>-6.1500000000002331E-2</v>
      </c>
    </row>
    <row r="18" spans="1:67" x14ac:dyDescent="0.3">
      <c r="A18" s="14">
        <v>-109784</v>
      </c>
      <c r="C18">
        <v>8098</v>
      </c>
      <c r="F18" s="7"/>
      <c r="G18" s="30"/>
      <c r="I18" s="6"/>
      <c r="J18">
        <v>-67149</v>
      </c>
      <c r="K18" s="1">
        <v>-36057</v>
      </c>
      <c r="N18" s="7"/>
      <c r="O18" s="31"/>
      <c r="AA18" s="6"/>
      <c r="AC18" s="1">
        <v>-33678</v>
      </c>
      <c r="AF18" s="7"/>
      <c r="AI18" s="17">
        <v>3</v>
      </c>
      <c r="AJ18" s="17">
        <v>29.43</v>
      </c>
      <c r="AK18" s="17">
        <v>-169333.6</v>
      </c>
      <c r="AL18" s="17">
        <v>29.611799999999999</v>
      </c>
      <c r="AM18" s="17">
        <f t="shared" si="1"/>
        <v>-0.18179999999999907</v>
      </c>
      <c r="AP18" s="17">
        <v>9.4E-2</v>
      </c>
      <c r="AT18" s="17"/>
      <c r="AU18" s="22"/>
      <c r="AV18" s="17"/>
      <c r="AW18" s="17"/>
      <c r="AX18" s="17"/>
      <c r="BB18" s="6"/>
      <c r="BD18" s="1">
        <v>-109834</v>
      </c>
      <c r="BG18" s="7"/>
      <c r="BH18" s="17">
        <v>4</v>
      </c>
      <c r="BI18" s="22">
        <v>39.24</v>
      </c>
      <c r="BJ18" s="17">
        <v>-302520</v>
      </c>
      <c r="BK18" s="17">
        <v>39.192799999999991</v>
      </c>
      <c r="BL18" s="17">
        <f t="shared" si="0"/>
        <v>-4.7200000000010789E-2</v>
      </c>
    </row>
    <row r="19" spans="1:67" x14ac:dyDescent="0.3">
      <c r="A19" s="14">
        <v>-109691</v>
      </c>
      <c r="C19">
        <v>8003</v>
      </c>
      <c r="F19" s="7"/>
      <c r="G19" s="30"/>
      <c r="I19" s="6"/>
      <c r="J19">
        <v>-67177</v>
      </c>
      <c r="K19" s="1">
        <v>-35942</v>
      </c>
      <c r="N19" s="7"/>
      <c r="O19" s="31"/>
      <c r="AA19" s="6"/>
      <c r="AC19" s="1">
        <v>-33811</v>
      </c>
      <c r="AF19" s="7"/>
      <c r="AI19" s="17">
        <v>4</v>
      </c>
      <c r="AJ19" s="17">
        <v>39.24</v>
      </c>
      <c r="AK19" s="17">
        <v>-225020.79999999999</v>
      </c>
      <c r="AL19" s="17">
        <v>39.358800000000002</v>
      </c>
      <c r="AM19" s="17">
        <f t="shared" si="1"/>
        <v>-0.11880000000000024</v>
      </c>
      <c r="AP19" s="17">
        <v>0.183</v>
      </c>
      <c r="AT19" s="17"/>
      <c r="AU19" s="22"/>
      <c r="AV19" s="17"/>
      <c r="AW19" s="17"/>
      <c r="AX19" s="17"/>
      <c r="BB19" s="6"/>
      <c r="BD19" s="1">
        <v>-109643</v>
      </c>
      <c r="BG19" s="7"/>
      <c r="BH19" s="17">
        <v>3</v>
      </c>
      <c r="BI19" s="22">
        <v>29.43</v>
      </c>
      <c r="BJ19" s="17">
        <v>-247580</v>
      </c>
      <c r="BK19" s="17">
        <v>29.338100000000004</v>
      </c>
      <c r="BL19" s="17">
        <f t="shared" si="0"/>
        <v>-9.189999999999543E-2</v>
      </c>
    </row>
    <row r="20" spans="1:67" x14ac:dyDescent="0.3">
      <c r="A20" s="14">
        <v>-109790</v>
      </c>
      <c r="C20">
        <v>7949</v>
      </c>
      <c r="F20" s="7"/>
      <c r="G20" s="30"/>
      <c r="I20" s="6"/>
      <c r="J20">
        <v>-67362</v>
      </c>
      <c r="K20" s="1">
        <v>-35924</v>
      </c>
      <c r="N20" s="7"/>
      <c r="O20" s="31"/>
      <c r="AA20" s="6"/>
      <c r="AC20" s="1">
        <v>-34043</v>
      </c>
      <c r="AF20" s="7"/>
      <c r="AI20" s="17">
        <v>4</v>
      </c>
      <c r="AJ20" s="17">
        <v>39.24</v>
      </c>
      <c r="AK20" s="17">
        <v>-224817</v>
      </c>
      <c r="AL20" s="17">
        <v>39.429200000000002</v>
      </c>
      <c r="AM20" s="17">
        <f t="shared" si="1"/>
        <v>-0.18919999999999959</v>
      </c>
      <c r="AP20" s="17">
        <v>0.22900000000000001</v>
      </c>
      <c r="AT20" s="17"/>
      <c r="AU20" s="22"/>
      <c r="AV20" s="17"/>
      <c r="AW20" s="17"/>
      <c r="AX20" s="17"/>
      <c r="BB20" s="6"/>
      <c r="BD20" s="1">
        <v>-109638</v>
      </c>
      <c r="BG20" s="7"/>
      <c r="BH20" s="17">
        <v>2</v>
      </c>
      <c r="BI20" s="22">
        <v>19.62</v>
      </c>
      <c r="BJ20" s="17">
        <v>-192505.8</v>
      </c>
      <c r="BK20" s="17">
        <v>19.563200000000002</v>
      </c>
      <c r="BL20" s="17">
        <f t="shared" si="0"/>
        <v>-5.6799999999999073E-2</v>
      </c>
    </row>
    <row r="21" spans="1:67" x14ac:dyDescent="0.3">
      <c r="A21" s="14">
        <v>-109841</v>
      </c>
      <c r="C21">
        <v>8021</v>
      </c>
      <c r="F21" s="7"/>
      <c r="G21" s="30"/>
      <c r="I21" s="6"/>
      <c r="J21">
        <v>-67182</v>
      </c>
      <c r="K21" s="1">
        <v>-36086</v>
      </c>
      <c r="N21" s="7"/>
      <c r="O21" s="31"/>
      <c r="AA21" s="6"/>
      <c r="AC21" s="1">
        <v>-34076</v>
      </c>
      <c r="AF21" s="7"/>
      <c r="AI21" s="17">
        <v>3</v>
      </c>
      <c r="AJ21" s="17">
        <v>29.43</v>
      </c>
      <c r="AK21" s="17">
        <v>-170446.4</v>
      </c>
      <c r="AL21" s="17">
        <v>29.5991</v>
      </c>
      <c r="AM21" s="17">
        <f t="shared" si="1"/>
        <v>-0.16910000000000025</v>
      </c>
      <c r="AP21" s="17">
        <v>7.8E-2</v>
      </c>
      <c r="AT21" s="17"/>
      <c r="AU21" s="22"/>
      <c r="AV21" s="17"/>
      <c r="AW21" s="17"/>
      <c r="AX21" s="17"/>
      <c r="BB21" s="6"/>
      <c r="BD21" s="1">
        <v>-109688</v>
      </c>
      <c r="BG21" s="7"/>
      <c r="BH21" s="17">
        <v>1</v>
      </c>
      <c r="BI21" s="22">
        <v>9.81</v>
      </c>
      <c r="BJ21" s="17">
        <v>-137055</v>
      </c>
      <c r="BK21" s="17">
        <v>9.7889999999999997</v>
      </c>
      <c r="BL21" s="17">
        <f t="shared" si="0"/>
        <v>-2.1000000000000796E-2</v>
      </c>
    </row>
    <row r="22" spans="1:67" x14ac:dyDescent="0.3">
      <c r="A22" s="14">
        <v>-109592</v>
      </c>
      <c r="C22">
        <v>8039</v>
      </c>
      <c r="F22" s="7"/>
      <c r="G22" s="30"/>
      <c r="I22" s="6"/>
      <c r="J22">
        <v>-67142</v>
      </c>
      <c r="K22" s="1">
        <v>-36070</v>
      </c>
      <c r="N22" s="7"/>
      <c r="O22" s="31"/>
      <c r="AA22" s="6"/>
      <c r="AC22" s="1">
        <v>-34217</v>
      </c>
      <c r="AF22" s="7"/>
      <c r="AI22" s="17">
        <v>2</v>
      </c>
      <c r="AJ22" s="17">
        <v>19.62</v>
      </c>
      <c r="AK22" s="17">
        <v>-115991.7</v>
      </c>
      <c r="AL22" s="17">
        <v>19.766400000000001</v>
      </c>
      <c r="AM22" s="17">
        <f t="shared" si="1"/>
        <v>-0.14639999999999986</v>
      </c>
      <c r="AP22" s="17">
        <v>-1.9E-2</v>
      </c>
      <c r="AT22" s="17"/>
      <c r="AU22" s="22"/>
      <c r="AV22" s="17"/>
      <c r="AW22" s="17"/>
      <c r="AX22" s="17"/>
      <c r="BB22" s="6"/>
      <c r="BD22" s="1">
        <v>-109591</v>
      </c>
      <c r="BG22" s="7"/>
      <c r="BH22" s="17">
        <v>0.5</v>
      </c>
      <c r="BI22" s="22">
        <v>4.9050000000000002</v>
      </c>
      <c r="BJ22" s="17">
        <v>-109536.6</v>
      </c>
      <c r="BK22" s="17">
        <v>4.9135</v>
      </c>
      <c r="BL22" s="17">
        <f t="shared" si="0"/>
        <v>8.49999999999973E-3</v>
      </c>
    </row>
    <row r="23" spans="1:67" ht="15" thickBot="1" x14ac:dyDescent="0.35">
      <c r="A23" s="8">
        <v>-109732</v>
      </c>
      <c r="B23" s="9"/>
      <c r="C23" s="9">
        <v>7896</v>
      </c>
      <c r="D23" s="9"/>
      <c r="E23" s="9"/>
      <c r="F23" s="10"/>
      <c r="G23" s="30"/>
      <c r="I23" s="11"/>
      <c r="J23" s="9">
        <v>-67366</v>
      </c>
      <c r="K23" s="12">
        <v>-36152</v>
      </c>
      <c r="L23" s="9"/>
      <c r="M23" s="9"/>
      <c r="N23" s="10"/>
      <c r="O23" s="31"/>
      <c r="AA23" s="11"/>
      <c r="AB23" s="9"/>
      <c r="AC23" s="12">
        <v>-34746</v>
      </c>
      <c r="AD23" s="9"/>
      <c r="AE23" s="9"/>
      <c r="AF23" s="10"/>
      <c r="AI23" s="17">
        <v>1</v>
      </c>
      <c r="AJ23" s="17">
        <v>9.81</v>
      </c>
      <c r="AK23" s="17">
        <v>-61378</v>
      </c>
      <c r="AL23" s="17">
        <v>9.9059000000000008</v>
      </c>
      <c r="AM23" s="17">
        <f t="shared" si="1"/>
        <v>-9.5900000000000318E-2</v>
      </c>
      <c r="AP23">
        <f xml:space="preserve"> AVERAGE(AP13:AP22)</f>
        <v>8.8800000000000004E-2</v>
      </c>
      <c r="AT23" s="17"/>
      <c r="AU23" s="22"/>
      <c r="AV23" s="17"/>
      <c r="AW23" s="17"/>
      <c r="AX23" s="17"/>
      <c r="BB23" s="11"/>
      <c r="BC23" s="9"/>
      <c r="BD23" s="12">
        <v>-109562</v>
      </c>
      <c r="BE23" s="9"/>
      <c r="BF23" s="9"/>
      <c r="BG23" s="10"/>
      <c r="BH23" s="17">
        <v>0</v>
      </c>
      <c r="BI23" s="22">
        <v>0</v>
      </c>
      <c r="BJ23" s="17">
        <v>-81931</v>
      </c>
      <c r="BK23" s="17">
        <v>-5.8999999999999999E-3</v>
      </c>
      <c r="BL23" s="17">
        <f t="shared" si="0"/>
        <v>-5.8999999999999999E-3</v>
      </c>
    </row>
    <row r="24" spans="1:67" ht="15" thickBot="1" x14ac:dyDescent="0.35">
      <c r="A24" s="1">
        <f>AVERAGE(A14:A23)</f>
        <v>-109779.5</v>
      </c>
      <c r="C24" s="1"/>
      <c r="E24" s="1"/>
      <c r="I24" s="1"/>
      <c r="K24" s="1">
        <f>AVERAGE(K14:K23)</f>
        <v>-35979.5</v>
      </c>
      <c r="M24" s="1"/>
      <c r="AA24" s="1"/>
      <c r="AC24" s="1">
        <f xml:space="preserve"> AVERAGE(AC14:AC23)</f>
        <v>-34196.400000000001</v>
      </c>
      <c r="AE24" s="1"/>
      <c r="AI24" s="17">
        <v>0.5</v>
      </c>
      <c r="AJ24" s="17">
        <v>4.9050000000000002</v>
      </c>
      <c r="AK24" s="17">
        <v>-34313.4</v>
      </c>
      <c r="AL24" s="17">
        <v>4.9992000000000001</v>
      </c>
      <c r="AM24" s="17">
        <f t="shared" si="1"/>
        <v>-9.4199999999999839E-2</v>
      </c>
      <c r="AT24" s="17"/>
      <c r="AU24" s="22"/>
      <c r="AV24" s="17"/>
      <c r="AW24" s="17"/>
      <c r="AX24" s="17"/>
      <c r="BB24" s="1"/>
      <c r="BD24" s="1">
        <f xml:space="preserve"> AVERAGE(BD14:BD23)</f>
        <v>-109686.1</v>
      </c>
      <c r="BF24" s="1"/>
    </row>
    <row r="25" spans="1:67" x14ac:dyDescent="0.3">
      <c r="A25" s="13">
        <v>-136583</v>
      </c>
      <c r="B25" s="3"/>
      <c r="C25" s="3">
        <v>7684</v>
      </c>
      <c r="D25" s="3"/>
      <c r="E25" s="3"/>
      <c r="F25" s="5"/>
      <c r="G25" s="31">
        <v>1</v>
      </c>
      <c r="I25" s="2"/>
      <c r="J25" s="3">
        <v>-68053</v>
      </c>
      <c r="K25" s="4">
        <v>-64229</v>
      </c>
      <c r="L25" s="3"/>
      <c r="M25" s="3"/>
      <c r="N25" s="5"/>
      <c r="O25" s="31">
        <v>1</v>
      </c>
      <c r="Z25">
        <v>1</v>
      </c>
      <c r="AA25" s="2"/>
      <c r="AB25" s="3"/>
      <c r="AC25" s="4">
        <v>-61601</v>
      </c>
      <c r="AD25" s="3"/>
      <c r="AE25" s="3"/>
      <c r="AF25" s="5"/>
      <c r="AI25" s="17">
        <v>0</v>
      </c>
      <c r="AJ25" s="17">
        <v>0</v>
      </c>
      <c r="AK25" s="17">
        <v>-7146.2</v>
      </c>
      <c r="AL25" s="17">
        <v>8.8800000000000004E-2</v>
      </c>
      <c r="AM25" s="17">
        <f t="shared" si="1"/>
        <v>-8.8800000000000004E-2</v>
      </c>
      <c r="AT25" s="17"/>
      <c r="AU25" s="22"/>
      <c r="AV25" s="17"/>
      <c r="AW25" s="17"/>
      <c r="AX25" s="17"/>
      <c r="BA25">
        <v>1</v>
      </c>
      <c r="BB25" s="2"/>
      <c r="BC25" s="3"/>
      <c r="BD25" s="4">
        <v>-137370</v>
      </c>
      <c r="BE25" s="3"/>
      <c r="BF25" s="3"/>
      <c r="BG25" s="5"/>
    </row>
    <row r="26" spans="1:67" x14ac:dyDescent="0.3">
      <c r="A26" s="14">
        <v>-136681</v>
      </c>
      <c r="C26">
        <v>7718</v>
      </c>
      <c r="F26" s="7"/>
      <c r="G26" s="31"/>
      <c r="I26" s="6"/>
      <c r="J26">
        <v>-67974</v>
      </c>
      <c r="K26" s="1">
        <v>-63960</v>
      </c>
      <c r="N26" s="7"/>
      <c r="O26" s="31"/>
      <c r="AA26" s="6"/>
      <c r="AC26" s="1">
        <v>-60897</v>
      </c>
      <c r="AF26" s="7"/>
      <c r="BB26" s="6"/>
      <c r="BD26" s="1">
        <v>-137546</v>
      </c>
      <c r="BG26" s="7"/>
    </row>
    <row r="27" spans="1:67" x14ac:dyDescent="0.3">
      <c r="A27" s="14">
        <v>-136843</v>
      </c>
      <c r="C27">
        <v>7628</v>
      </c>
      <c r="F27" s="7"/>
      <c r="G27" s="31"/>
      <c r="I27" s="6"/>
      <c r="J27">
        <v>-68063</v>
      </c>
      <c r="K27" s="1">
        <v>-64153</v>
      </c>
      <c r="N27" s="7"/>
      <c r="O27" s="31"/>
      <c r="AA27" s="6"/>
      <c r="AC27" s="1">
        <v>-61097</v>
      </c>
      <c r="AF27" s="7"/>
      <c r="BB27" s="6"/>
      <c r="BD27" s="1">
        <v>-137719</v>
      </c>
      <c r="BG27" s="7"/>
    </row>
    <row r="28" spans="1:67" x14ac:dyDescent="0.3">
      <c r="A28" s="14">
        <v>-136730</v>
      </c>
      <c r="C28">
        <v>7565</v>
      </c>
      <c r="F28" s="7"/>
      <c r="G28" s="31"/>
      <c r="I28" s="6"/>
      <c r="J28">
        <v>-68117</v>
      </c>
      <c r="K28" s="1">
        <v>-64203</v>
      </c>
      <c r="N28" s="7"/>
      <c r="O28" s="31"/>
      <c r="AA28" s="6"/>
      <c r="AC28" s="1">
        <v>-61253</v>
      </c>
      <c r="AF28" s="7"/>
      <c r="BB28" s="6"/>
      <c r="BD28" s="1">
        <v>-137584</v>
      </c>
      <c r="BG28" s="7"/>
    </row>
    <row r="29" spans="1:67" x14ac:dyDescent="0.3">
      <c r="A29" s="14">
        <v>-136815</v>
      </c>
      <c r="C29">
        <v>7686</v>
      </c>
      <c r="F29" s="7"/>
      <c r="G29" s="31"/>
      <c r="I29" s="6"/>
      <c r="J29">
        <v>-68078</v>
      </c>
      <c r="K29" s="1">
        <v>-64050</v>
      </c>
      <c r="N29" s="7"/>
      <c r="O29" s="31"/>
      <c r="AA29" s="6"/>
      <c r="AC29" s="1">
        <v>-61381</v>
      </c>
      <c r="AF29" s="7"/>
      <c r="BB29" s="6"/>
      <c r="BD29" s="1">
        <v>-137364</v>
      </c>
      <c r="BG29" s="7"/>
    </row>
    <row r="30" spans="1:67" x14ac:dyDescent="0.3">
      <c r="A30" s="14">
        <v>-136864</v>
      </c>
      <c r="C30">
        <v>7494</v>
      </c>
      <c r="F30" s="7"/>
      <c r="G30" s="31"/>
      <c r="I30" s="6"/>
      <c r="J30">
        <v>-68018</v>
      </c>
      <c r="K30" s="1">
        <v>-64030</v>
      </c>
      <c r="N30" s="7"/>
      <c r="O30" s="31"/>
      <c r="AA30" s="6"/>
      <c r="AC30" s="1">
        <v>-61488</v>
      </c>
      <c r="AF30" s="7"/>
      <c r="BB30" s="6"/>
      <c r="BD30" s="1">
        <v>-137149</v>
      </c>
      <c r="BG30" s="7"/>
    </row>
    <row r="31" spans="1:67" x14ac:dyDescent="0.3">
      <c r="A31" s="14">
        <v>-136711</v>
      </c>
      <c r="C31">
        <v>7534</v>
      </c>
      <c r="F31" s="7"/>
      <c r="G31" s="31"/>
      <c r="I31" s="6"/>
      <c r="J31">
        <v>-68048</v>
      </c>
      <c r="K31" s="1">
        <v>-64109</v>
      </c>
      <c r="N31" s="7"/>
      <c r="O31" s="31"/>
      <c r="AA31" s="6"/>
      <c r="AC31" s="1">
        <v>-62097</v>
      </c>
      <c r="AF31" s="7"/>
      <c r="BB31" s="6"/>
      <c r="BD31" s="1">
        <v>-137060</v>
      </c>
      <c r="BG31" s="7"/>
    </row>
    <row r="32" spans="1:67" x14ac:dyDescent="0.3">
      <c r="A32" s="14">
        <v>-136848</v>
      </c>
      <c r="C32">
        <v>7655</v>
      </c>
      <c r="F32" s="7"/>
      <c r="G32" s="31"/>
      <c r="I32" s="6"/>
      <c r="J32">
        <v>-68240</v>
      </c>
      <c r="K32" s="1">
        <v>-64041</v>
      </c>
      <c r="N32" s="7"/>
      <c r="O32" s="31"/>
      <c r="AA32" s="6"/>
      <c r="AC32" s="1">
        <v>-61639</v>
      </c>
      <c r="AF32" s="7"/>
      <c r="BB32" s="6"/>
      <c r="BD32" s="1">
        <v>-137181</v>
      </c>
      <c r="BG32" s="7"/>
      <c r="BO32" s="17">
        <v>-8.9999999999999993E-3</v>
      </c>
    </row>
    <row r="33" spans="1:67" x14ac:dyDescent="0.3">
      <c r="A33" s="14">
        <v>-136956</v>
      </c>
      <c r="C33">
        <v>7679</v>
      </c>
      <c r="F33" s="7"/>
      <c r="G33" s="31"/>
      <c r="I33" s="6"/>
      <c r="J33">
        <v>-68085</v>
      </c>
      <c r="K33" s="1">
        <v>-64027</v>
      </c>
      <c r="N33" s="7"/>
      <c r="O33" s="31"/>
      <c r="AA33" s="6"/>
      <c r="AC33" s="1">
        <v>-61041</v>
      </c>
      <c r="AF33" s="7"/>
      <c r="BB33" s="6"/>
      <c r="BD33" s="1">
        <v>-137099</v>
      </c>
      <c r="BG33" s="7"/>
      <c r="BO33" s="17">
        <v>-3.0000000000000001E-3</v>
      </c>
    </row>
    <row r="34" spans="1:67" ht="15" thickBot="1" x14ac:dyDescent="0.35">
      <c r="A34" s="8">
        <v>-136833</v>
      </c>
      <c r="B34" s="9"/>
      <c r="C34" s="9">
        <v>7640</v>
      </c>
      <c r="D34" s="9"/>
      <c r="E34" s="9"/>
      <c r="F34" s="10"/>
      <c r="G34" s="31"/>
      <c r="I34" s="11"/>
      <c r="J34" s="9">
        <v>-68103</v>
      </c>
      <c r="K34" s="12">
        <v>-64172</v>
      </c>
      <c r="L34" s="9"/>
      <c r="M34" s="9"/>
      <c r="N34" s="10"/>
      <c r="O34" s="31"/>
      <c r="AA34" s="11"/>
      <c r="AB34" s="9"/>
      <c r="AC34" s="12">
        <v>-60938</v>
      </c>
      <c r="AD34" s="9"/>
      <c r="AE34" s="9"/>
      <c r="AF34" s="10"/>
      <c r="BB34" s="11"/>
      <c r="BC34" s="9"/>
      <c r="BD34" s="12">
        <v>-137049</v>
      </c>
      <c r="BE34" s="9"/>
      <c r="BF34" s="9"/>
      <c r="BG34" s="10"/>
      <c r="BO34" s="17">
        <v>-4.0000000000000001E-3</v>
      </c>
    </row>
    <row r="35" spans="1:67" ht="15" thickBot="1" x14ac:dyDescent="0.35">
      <c r="A35" s="1">
        <f>AVERAGE(A25:A34)</f>
        <v>-136786.4</v>
      </c>
      <c r="C35" s="1"/>
      <c r="E35" s="1"/>
      <c r="I35" s="1"/>
      <c r="K35" s="1">
        <f>AVERAGE(K25:K34)</f>
        <v>-64097.4</v>
      </c>
      <c r="M35" s="1"/>
      <c r="AA35" s="1"/>
      <c r="AC35" s="1">
        <f xml:space="preserve"> AVERAGE(AC25:AC34)</f>
        <v>-61343.199999999997</v>
      </c>
      <c r="AE35" s="1"/>
      <c r="BB35" s="1"/>
      <c r="BD35" s="1">
        <f xml:space="preserve"> AVERAGE(BD25:BD34)</f>
        <v>-137312.1</v>
      </c>
      <c r="BF35" s="1"/>
      <c r="BO35" s="17">
        <v>-2.5000000000000001E-2</v>
      </c>
    </row>
    <row r="36" spans="1:67" x14ac:dyDescent="0.3">
      <c r="A36" s="13">
        <v>-190875</v>
      </c>
      <c r="B36" s="3"/>
      <c r="C36" s="3">
        <v>6909</v>
      </c>
      <c r="D36" s="3"/>
      <c r="E36" s="3"/>
      <c r="F36" s="5"/>
      <c r="I36" s="2"/>
      <c r="J36" s="3">
        <v>-71120</v>
      </c>
      <c r="K36" s="4">
        <v>-119913</v>
      </c>
      <c r="L36" s="3"/>
      <c r="M36" s="3"/>
      <c r="N36" s="5"/>
      <c r="Z36">
        <v>2</v>
      </c>
      <c r="AA36" s="2"/>
      <c r="AB36" s="3"/>
      <c r="AC36" s="4">
        <v>-116348</v>
      </c>
      <c r="AD36" s="3"/>
      <c r="AE36" s="3"/>
      <c r="AF36" s="5"/>
      <c r="BA36">
        <v>2</v>
      </c>
      <c r="BB36" s="2"/>
      <c r="BC36" s="3"/>
      <c r="BD36" s="4">
        <v>-192024</v>
      </c>
      <c r="BE36" s="3"/>
      <c r="BF36" s="3"/>
      <c r="BG36" s="5"/>
      <c r="BO36" s="17">
        <v>7.0000000000000001E-3</v>
      </c>
    </row>
    <row r="37" spans="1:67" x14ac:dyDescent="0.3">
      <c r="A37" s="14">
        <v>-190878</v>
      </c>
      <c r="C37">
        <v>7044</v>
      </c>
      <c r="F37" s="7"/>
      <c r="I37" s="6"/>
      <c r="J37">
        <v>-71021</v>
      </c>
      <c r="K37" s="1">
        <v>-119919</v>
      </c>
      <c r="N37" s="7"/>
      <c r="AA37" s="6"/>
      <c r="AC37" s="1">
        <v>-116789</v>
      </c>
      <c r="AF37" s="7"/>
      <c r="BB37" s="6"/>
      <c r="BD37" s="1">
        <v>-191839</v>
      </c>
      <c r="BG37" s="7"/>
      <c r="BO37" s="17">
        <v>-4.0000000000000001E-3</v>
      </c>
    </row>
    <row r="38" spans="1:67" x14ac:dyDescent="0.3">
      <c r="A38" s="14">
        <v>-190801</v>
      </c>
      <c r="C38">
        <v>6999</v>
      </c>
      <c r="F38" s="7"/>
      <c r="I38" s="6"/>
      <c r="J38">
        <v>-71114</v>
      </c>
      <c r="K38" s="1">
        <v>-120050</v>
      </c>
      <c r="N38" s="7"/>
      <c r="AA38" s="6"/>
      <c r="AC38" s="1">
        <v>-116265</v>
      </c>
      <c r="AF38" s="7"/>
      <c r="BB38" s="6"/>
      <c r="BD38" s="1">
        <v>-191544</v>
      </c>
      <c r="BG38" s="7"/>
      <c r="BO38" s="17">
        <v>4.0000000000000001E-3</v>
      </c>
    </row>
    <row r="39" spans="1:67" x14ac:dyDescent="0.3">
      <c r="A39" s="14">
        <v>-190771</v>
      </c>
      <c r="C39">
        <v>7089</v>
      </c>
      <c r="F39" s="7"/>
      <c r="I39" s="6"/>
      <c r="J39">
        <v>-71215</v>
      </c>
      <c r="K39" s="1">
        <v>-119773</v>
      </c>
      <c r="N39" s="7"/>
      <c r="AA39" s="6"/>
      <c r="AC39" s="1">
        <v>-115652</v>
      </c>
      <c r="AF39" s="7"/>
      <c r="BB39" s="6"/>
      <c r="BD39" s="1">
        <v>-191838</v>
      </c>
      <c r="BG39" s="7"/>
      <c r="BO39" s="17">
        <v>-1.0999999999999999E-2</v>
      </c>
    </row>
    <row r="40" spans="1:67" x14ac:dyDescent="0.3">
      <c r="A40" s="14">
        <v>-190814</v>
      </c>
      <c r="C40">
        <v>7001</v>
      </c>
      <c r="F40" s="7"/>
      <c r="G40" s="31">
        <v>2</v>
      </c>
      <c r="I40" s="6"/>
      <c r="J40">
        <v>-71101</v>
      </c>
      <c r="K40" s="1">
        <v>-119714</v>
      </c>
      <c r="N40" s="7"/>
      <c r="O40" s="31">
        <v>2</v>
      </c>
      <c r="AA40" s="6"/>
      <c r="AC40" s="1">
        <v>-115750</v>
      </c>
      <c r="AF40" s="7"/>
      <c r="BB40" s="6"/>
      <c r="BD40" s="1">
        <v>-192205</v>
      </c>
      <c r="BG40" s="7"/>
      <c r="BO40" s="17">
        <v>2E-3</v>
      </c>
    </row>
    <row r="41" spans="1:67" x14ac:dyDescent="0.3">
      <c r="A41" s="14">
        <v>-190953</v>
      </c>
      <c r="C41">
        <v>7070</v>
      </c>
      <c r="F41" s="7"/>
      <c r="G41" s="31"/>
      <c r="I41" s="6"/>
      <c r="J41">
        <v>-71091</v>
      </c>
      <c r="K41" s="1">
        <v>-119873</v>
      </c>
      <c r="N41" s="7"/>
      <c r="O41" s="31"/>
      <c r="AA41" s="6"/>
      <c r="AC41" s="1">
        <v>-115927</v>
      </c>
      <c r="AF41" s="7"/>
      <c r="BB41" s="6"/>
      <c r="BD41" s="1">
        <v>-192535</v>
      </c>
      <c r="BG41" s="7"/>
      <c r="BO41" s="17">
        <v>-1.6E-2</v>
      </c>
    </row>
    <row r="42" spans="1:67" x14ac:dyDescent="0.3">
      <c r="A42" s="14">
        <v>-190861</v>
      </c>
      <c r="C42">
        <v>7048</v>
      </c>
      <c r="F42" s="7"/>
      <c r="G42" s="31"/>
      <c r="I42" s="6"/>
      <c r="J42">
        <v>-71142</v>
      </c>
      <c r="K42" s="1">
        <v>-119741</v>
      </c>
      <c r="N42" s="7"/>
      <c r="O42" s="31"/>
      <c r="AA42" s="6"/>
      <c r="AC42" s="1">
        <v>-116286</v>
      </c>
      <c r="AF42" s="7"/>
      <c r="BB42" s="6"/>
      <c r="BD42" s="1">
        <v>-192677</v>
      </c>
      <c r="BG42" s="7"/>
      <c r="BO42">
        <f xml:space="preserve"> AVERAGE(BO32:BO41)</f>
        <v>-5.8999999999999999E-3</v>
      </c>
    </row>
    <row r="43" spans="1:67" x14ac:dyDescent="0.3">
      <c r="A43" s="14">
        <v>-190913</v>
      </c>
      <c r="C43">
        <v>6989</v>
      </c>
      <c r="F43" s="7"/>
      <c r="G43" s="31"/>
      <c r="I43" s="6"/>
      <c r="J43">
        <v>-71132</v>
      </c>
      <c r="K43" s="1">
        <v>-119495</v>
      </c>
      <c r="N43" s="7"/>
      <c r="O43" s="31"/>
      <c r="AA43" s="6"/>
      <c r="AC43" s="1">
        <v>-116483</v>
      </c>
      <c r="AF43" s="7"/>
      <c r="BB43" s="6"/>
      <c r="BD43" s="1">
        <v>-192729</v>
      </c>
      <c r="BG43" s="7"/>
    </row>
    <row r="44" spans="1:67" x14ac:dyDescent="0.3">
      <c r="A44" s="14">
        <v>-190932</v>
      </c>
      <c r="C44">
        <v>7177</v>
      </c>
      <c r="F44" s="7"/>
      <c r="G44" s="31"/>
      <c r="I44" s="6"/>
      <c r="J44">
        <v>-71178</v>
      </c>
      <c r="K44" s="1">
        <v>-119596</v>
      </c>
      <c r="N44" s="7"/>
      <c r="O44" s="31"/>
      <c r="AA44" s="6"/>
      <c r="AC44" s="1">
        <v>-116861</v>
      </c>
      <c r="AF44" s="7"/>
      <c r="BB44" s="6"/>
      <c r="BD44" s="1">
        <v>-193121</v>
      </c>
      <c r="BG44" s="7"/>
    </row>
    <row r="45" spans="1:67" ht="15" thickBot="1" x14ac:dyDescent="0.35">
      <c r="A45" s="8">
        <v>-190819</v>
      </c>
      <c r="B45" s="9"/>
      <c r="C45" s="9">
        <v>7018</v>
      </c>
      <c r="D45" s="9"/>
      <c r="E45" s="9"/>
      <c r="F45" s="10"/>
      <c r="I45" s="11"/>
      <c r="J45" s="9">
        <v>-71133</v>
      </c>
      <c r="K45" s="12">
        <v>-119509</v>
      </c>
      <c r="L45" s="9"/>
      <c r="M45" s="9"/>
      <c r="N45" s="10"/>
      <c r="AA45" s="11"/>
      <c r="AB45" s="9"/>
      <c r="AC45" s="12">
        <v>-116509</v>
      </c>
      <c r="AD45" s="9"/>
      <c r="AE45" s="9"/>
      <c r="AF45" s="10"/>
      <c r="BB45" s="11"/>
      <c r="BC45" s="9"/>
      <c r="BD45" s="12">
        <v>-193439</v>
      </c>
      <c r="BE45" s="9"/>
      <c r="BF45" s="9"/>
      <c r="BG45" s="10"/>
    </row>
    <row r="46" spans="1:67" ht="15" thickBot="1" x14ac:dyDescent="0.35">
      <c r="A46" s="1">
        <f>AVERAGE(A36:A45)</f>
        <v>-190861.7</v>
      </c>
      <c r="C46" s="1"/>
      <c r="E46" s="1"/>
      <c r="I46" s="1"/>
      <c r="K46" s="1">
        <f>AVERAGE(K36:K45)</f>
        <v>-119758.3</v>
      </c>
      <c r="M46" s="1"/>
      <c r="AA46" s="1"/>
      <c r="AC46" s="1">
        <f xml:space="preserve"> AVERAGE(AC36:AC45)</f>
        <v>-116287</v>
      </c>
      <c r="AE46" s="1"/>
      <c r="BB46" s="1"/>
      <c r="BD46" s="1">
        <f xml:space="preserve"> AVERAGE(BD36:BD45)</f>
        <v>-192395.1</v>
      </c>
      <c r="BF46" s="1"/>
    </row>
    <row r="47" spans="1:67" x14ac:dyDescent="0.3">
      <c r="A47" s="13">
        <v>-244287</v>
      </c>
      <c r="B47" s="3"/>
      <c r="C47" s="3">
        <v>6034</v>
      </c>
      <c r="D47" s="3"/>
      <c r="E47" s="3"/>
      <c r="F47" s="5"/>
      <c r="I47" s="2"/>
      <c r="J47" s="3">
        <v>-73011</v>
      </c>
      <c r="K47" s="3">
        <v>-174473</v>
      </c>
      <c r="L47" s="3"/>
      <c r="M47" s="3"/>
      <c r="N47" s="5"/>
      <c r="Z47">
        <v>3</v>
      </c>
      <c r="AA47" s="2"/>
      <c r="AB47" s="3"/>
      <c r="AC47" s="3">
        <v>-169172</v>
      </c>
      <c r="AD47" s="3"/>
      <c r="AE47" s="3"/>
      <c r="AF47" s="5"/>
      <c r="BA47">
        <v>3</v>
      </c>
      <c r="BB47" s="2"/>
      <c r="BC47" s="3"/>
      <c r="BD47" s="3">
        <v>-247447</v>
      </c>
      <c r="BE47" s="3"/>
      <c r="BF47" s="3"/>
      <c r="BG47" s="5"/>
    </row>
    <row r="48" spans="1:67" x14ac:dyDescent="0.3">
      <c r="A48" s="14">
        <v>-244286</v>
      </c>
      <c r="C48">
        <v>6019</v>
      </c>
      <c r="F48" s="7"/>
      <c r="I48" s="14"/>
      <c r="J48">
        <v>-73121</v>
      </c>
      <c r="K48">
        <v>-174361</v>
      </c>
      <c r="N48" s="7"/>
      <c r="AA48" s="14"/>
      <c r="AC48">
        <v>-169357</v>
      </c>
      <c r="AF48" s="7"/>
      <c r="BB48" s="14"/>
      <c r="BD48">
        <v>-247505</v>
      </c>
      <c r="BG48" s="7"/>
    </row>
    <row r="49" spans="1:59" x14ac:dyDescent="0.3">
      <c r="A49" s="14">
        <v>-244305</v>
      </c>
      <c r="C49">
        <v>6216</v>
      </c>
      <c r="F49" s="7"/>
      <c r="I49" s="14"/>
      <c r="J49">
        <v>-73179</v>
      </c>
      <c r="K49">
        <v>-174342</v>
      </c>
      <c r="N49" s="7"/>
      <c r="AA49" s="14"/>
      <c r="AC49">
        <v>-169351</v>
      </c>
      <c r="AF49" s="7"/>
      <c r="BB49" s="14"/>
      <c r="BD49">
        <v>-247696</v>
      </c>
      <c r="BG49" s="7"/>
    </row>
    <row r="50" spans="1:59" x14ac:dyDescent="0.3">
      <c r="A50" s="14">
        <v>-244252</v>
      </c>
      <c r="C50">
        <v>6006</v>
      </c>
      <c r="F50" s="7"/>
      <c r="G50" s="31">
        <v>3</v>
      </c>
      <c r="I50" s="14"/>
      <c r="J50">
        <v>-73089</v>
      </c>
      <c r="K50">
        <v>-174360</v>
      </c>
      <c r="N50" s="7"/>
      <c r="O50" s="31">
        <v>3</v>
      </c>
      <c r="AA50" s="14"/>
      <c r="AC50">
        <v>-169508</v>
      </c>
      <c r="AF50" s="7"/>
      <c r="BB50" s="14"/>
      <c r="BD50">
        <v>-247735</v>
      </c>
      <c r="BG50" s="7"/>
    </row>
    <row r="51" spans="1:59" x14ac:dyDescent="0.3">
      <c r="A51" s="14">
        <v>-244341</v>
      </c>
      <c r="C51">
        <v>5839</v>
      </c>
      <c r="F51" s="7"/>
      <c r="G51" s="31"/>
      <c r="I51" s="14"/>
      <c r="J51">
        <v>-73004</v>
      </c>
      <c r="K51">
        <v>-174347</v>
      </c>
      <c r="N51" s="7"/>
      <c r="O51" s="31"/>
      <c r="AA51" s="14"/>
      <c r="AC51">
        <v>-170086</v>
      </c>
      <c r="AF51" s="7"/>
      <c r="BB51" s="14"/>
      <c r="BD51">
        <v>-248016</v>
      </c>
      <c r="BG51" s="7"/>
    </row>
    <row r="52" spans="1:59" x14ac:dyDescent="0.3">
      <c r="A52" s="14">
        <v>-244298</v>
      </c>
      <c r="C52">
        <v>6154</v>
      </c>
      <c r="F52" s="7"/>
      <c r="G52" s="31"/>
      <c r="I52" s="14"/>
      <c r="J52">
        <v>-73118</v>
      </c>
      <c r="K52">
        <v>-174296</v>
      </c>
      <c r="N52" s="7"/>
      <c r="O52" s="31"/>
      <c r="AA52" s="14"/>
      <c r="AC52">
        <v>-169565</v>
      </c>
      <c r="AF52" s="7"/>
      <c r="BB52" s="14"/>
      <c r="BD52">
        <v>-247840</v>
      </c>
      <c r="BG52" s="7"/>
    </row>
    <row r="53" spans="1:59" x14ac:dyDescent="0.3">
      <c r="A53" s="14">
        <v>-244236</v>
      </c>
      <c r="C53">
        <v>5985</v>
      </c>
      <c r="F53" s="7"/>
      <c r="G53" s="31"/>
      <c r="I53" s="14"/>
      <c r="J53">
        <v>-72983</v>
      </c>
      <c r="K53">
        <v>-174145</v>
      </c>
      <c r="N53" s="7"/>
      <c r="O53" s="31"/>
      <c r="AA53" s="14"/>
      <c r="AC53">
        <v>-168837</v>
      </c>
      <c r="AF53" s="7"/>
      <c r="BB53" s="14"/>
      <c r="BD53">
        <v>-247755</v>
      </c>
      <c r="BG53" s="7"/>
    </row>
    <row r="54" spans="1:59" x14ac:dyDescent="0.3">
      <c r="A54" s="14">
        <v>-244317</v>
      </c>
      <c r="C54">
        <v>5886</v>
      </c>
      <c r="F54" s="7"/>
      <c r="G54" s="31"/>
      <c r="I54" s="14"/>
      <c r="J54">
        <v>-73106</v>
      </c>
      <c r="K54">
        <v>-174227</v>
      </c>
      <c r="N54" s="7"/>
      <c r="O54" s="31"/>
      <c r="AA54" s="14"/>
      <c r="AC54">
        <v>-169032</v>
      </c>
      <c r="AF54" s="7"/>
      <c r="BB54" s="14"/>
      <c r="BD54">
        <v>-247647</v>
      </c>
      <c r="BG54" s="7"/>
    </row>
    <row r="55" spans="1:59" x14ac:dyDescent="0.3">
      <c r="A55" s="14">
        <v>-244249</v>
      </c>
      <c r="C55">
        <v>5898</v>
      </c>
      <c r="F55" s="7"/>
      <c r="I55" s="14"/>
      <c r="J55">
        <v>-73122</v>
      </c>
      <c r="K55">
        <v>-174138</v>
      </c>
      <c r="N55" s="7"/>
      <c r="AA55" s="14"/>
      <c r="AC55">
        <v>-169026</v>
      </c>
      <c r="AF55" s="7"/>
      <c r="BB55" s="14"/>
      <c r="BD55">
        <v>-247757</v>
      </c>
      <c r="BG55" s="7"/>
    </row>
    <row r="56" spans="1:59" ht="15" thickBot="1" x14ac:dyDescent="0.35">
      <c r="A56" s="8">
        <v>-244309</v>
      </c>
      <c r="B56" s="9"/>
      <c r="C56" s="9">
        <v>5907</v>
      </c>
      <c r="D56" s="9"/>
      <c r="E56" s="9"/>
      <c r="F56" s="10"/>
      <c r="I56" s="8"/>
      <c r="J56" s="9">
        <v>-73183</v>
      </c>
      <c r="K56" s="9">
        <v>-174053</v>
      </c>
      <c r="L56" s="9"/>
      <c r="M56" s="9"/>
      <c r="N56" s="10"/>
      <c r="AA56" s="8"/>
      <c r="AB56" s="9"/>
      <c r="AC56" s="9">
        <v>-169402</v>
      </c>
      <c r="AD56" s="9"/>
      <c r="AE56" s="9"/>
      <c r="AF56" s="10"/>
      <c r="BB56" s="8"/>
      <c r="BC56" s="9"/>
      <c r="BD56" s="9">
        <v>-247670</v>
      </c>
      <c r="BE56" s="9"/>
      <c r="BF56" s="9"/>
      <c r="BG56" s="10"/>
    </row>
    <row r="57" spans="1:59" ht="15" thickBot="1" x14ac:dyDescent="0.35">
      <c r="A57" s="1">
        <f>AVERAGE(A47:A56)</f>
        <v>-244288</v>
      </c>
      <c r="C57" s="1">
        <f>AVERAGE(C47:C56)</f>
        <v>5994.4</v>
      </c>
      <c r="E57" s="1" t="e">
        <f>AVERAGE(E47:E56)</f>
        <v>#DIV/0!</v>
      </c>
      <c r="I57" s="1" t="e">
        <f>AVERAGE(I47:I56)</f>
        <v>#DIV/0!</v>
      </c>
      <c r="K57" s="1">
        <f>AVERAGE(K47:K56)</f>
        <v>-174274.2</v>
      </c>
      <c r="M57" s="1" t="e">
        <f>AVERAGE(M47:M56)</f>
        <v>#DIV/0!</v>
      </c>
      <c r="AA57" s="1" t="e">
        <f>AVERAGE(AA47:AA56)</f>
        <v>#DIV/0!</v>
      </c>
      <c r="AC57" s="1">
        <f xml:space="preserve"> AVERAGE(AC47:AC56)</f>
        <v>-169333.6</v>
      </c>
      <c r="AE57" s="1" t="e">
        <f>AVERAGE(AE47:AE56)</f>
        <v>#DIV/0!</v>
      </c>
      <c r="BB57" s="1" t="e">
        <f>AVERAGE(BB47:BB56)</f>
        <v>#DIV/0!</v>
      </c>
      <c r="BD57" s="1">
        <f xml:space="preserve"> AVERAGE(BD47:BD56)</f>
        <v>-247706.8</v>
      </c>
      <c r="BF57" s="1" t="e">
        <f>AVERAGE(BF47:BF56)</f>
        <v>#DIV/0!</v>
      </c>
    </row>
    <row r="58" spans="1:59" x14ac:dyDescent="0.3">
      <c r="A58" s="2">
        <v>-299140</v>
      </c>
      <c r="B58" s="3"/>
      <c r="C58" s="3">
        <v>6103</v>
      </c>
      <c r="D58" s="3"/>
      <c r="E58" s="3"/>
      <c r="F58" s="5"/>
      <c r="I58" s="2"/>
      <c r="J58" s="3">
        <v>-76333</v>
      </c>
      <c r="K58" s="3">
        <v>-228907</v>
      </c>
      <c r="L58" s="3"/>
      <c r="M58" s="3"/>
      <c r="N58" s="5"/>
      <c r="Z58">
        <v>4</v>
      </c>
      <c r="AA58" s="2"/>
      <c r="AB58" s="3"/>
      <c r="AC58" s="3">
        <v>-224882</v>
      </c>
      <c r="AD58" s="3"/>
      <c r="AE58" s="3"/>
      <c r="AF58" s="5"/>
      <c r="BA58">
        <v>4</v>
      </c>
      <c r="BB58" s="2"/>
      <c r="BC58" s="3"/>
      <c r="BD58" s="3">
        <v>-303059</v>
      </c>
      <c r="BE58" s="3"/>
      <c r="BF58" s="3"/>
      <c r="BG58" s="5"/>
    </row>
    <row r="59" spans="1:59" x14ac:dyDescent="0.3">
      <c r="A59" s="6">
        <v>-299106</v>
      </c>
      <c r="C59">
        <v>5851</v>
      </c>
      <c r="F59" s="7"/>
      <c r="I59" s="6"/>
      <c r="J59">
        <v>-76233</v>
      </c>
      <c r="K59">
        <v>-228998</v>
      </c>
      <c r="N59" s="7"/>
      <c r="AA59" s="6"/>
      <c r="AC59">
        <v>-225101</v>
      </c>
      <c r="AF59" s="7"/>
      <c r="BB59" s="6"/>
      <c r="BD59">
        <v>-303297</v>
      </c>
      <c r="BG59" s="7"/>
    </row>
    <row r="60" spans="1:59" x14ac:dyDescent="0.3">
      <c r="A60" s="14">
        <v>-299250</v>
      </c>
      <c r="C60">
        <v>6135</v>
      </c>
      <c r="F60" s="7"/>
      <c r="I60" s="14"/>
      <c r="J60">
        <v>-76299</v>
      </c>
      <c r="K60">
        <v>-229028</v>
      </c>
      <c r="N60" s="7"/>
      <c r="AA60" s="14"/>
      <c r="AC60">
        <v>-225635</v>
      </c>
      <c r="AF60" s="7"/>
      <c r="BB60" s="14"/>
      <c r="BD60">
        <v>-303288</v>
      </c>
      <c r="BG60" s="7"/>
    </row>
    <row r="61" spans="1:59" x14ac:dyDescent="0.3">
      <c r="A61" s="14">
        <v>-299174</v>
      </c>
      <c r="C61">
        <v>6000</v>
      </c>
      <c r="F61" s="7"/>
      <c r="I61" s="14"/>
      <c r="J61">
        <v>-76286</v>
      </c>
      <c r="K61">
        <v>-228984</v>
      </c>
      <c r="N61" s="7"/>
      <c r="AA61" s="14"/>
      <c r="AC61">
        <v>-225380</v>
      </c>
      <c r="AF61" s="7"/>
      <c r="BB61" s="14"/>
      <c r="BD61">
        <v>-303108</v>
      </c>
      <c r="BG61" s="7"/>
    </row>
    <row r="62" spans="1:59" x14ac:dyDescent="0.3">
      <c r="A62" s="14">
        <v>-299056</v>
      </c>
      <c r="C62">
        <v>5918</v>
      </c>
      <c r="F62" s="7"/>
      <c r="G62" s="31">
        <v>4</v>
      </c>
      <c r="I62" s="14"/>
      <c r="J62">
        <v>-76157</v>
      </c>
      <c r="K62">
        <v>-229110</v>
      </c>
      <c r="N62" s="7"/>
      <c r="O62" s="31">
        <v>4</v>
      </c>
      <c r="AA62" s="14"/>
      <c r="AC62">
        <v>-224489</v>
      </c>
      <c r="AF62" s="7"/>
      <c r="BB62" s="14"/>
      <c r="BD62">
        <v>-302667</v>
      </c>
      <c r="BG62" s="7"/>
    </row>
    <row r="63" spans="1:59" x14ac:dyDescent="0.3">
      <c r="A63" s="14">
        <v>-299039</v>
      </c>
      <c r="C63">
        <v>6061</v>
      </c>
      <c r="F63" s="7"/>
      <c r="G63" s="31"/>
      <c r="I63" s="14"/>
      <c r="J63">
        <v>-76274</v>
      </c>
      <c r="K63">
        <v>-228818</v>
      </c>
      <c r="N63" s="7"/>
      <c r="O63" s="31"/>
      <c r="AA63" s="14"/>
      <c r="AC63">
        <v>-224555</v>
      </c>
      <c r="AF63" s="7"/>
      <c r="BB63" s="14"/>
      <c r="BD63">
        <v>-302710</v>
      </c>
      <c r="BG63" s="7"/>
    </row>
    <row r="64" spans="1:59" x14ac:dyDescent="0.3">
      <c r="A64" s="14">
        <v>-299179</v>
      </c>
      <c r="C64">
        <v>6102</v>
      </c>
      <c r="F64" s="7"/>
      <c r="G64" s="31"/>
      <c r="I64" s="14"/>
      <c r="J64">
        <v>-76273</v>
      </c>
      <c r="K64">
        <v>-228822</v>
      </c>
      <c r="N64" s="7"/>
      <c r="O64" s="31"/>
      <c r="AA64" s="14"/>
      <c r="AC64">
        <v>-224773</v>
      </c>
      <c r="AF64" s="7"/>
      <c r="BB64" s="14"/>
      <c r="BD64">
        <v>-303102</v>
      </c>
      <c r="BG64" s="7"/>
    </row>
    <row r="65" spans="1:59" x14ac:dyDescent="0.3">
      <c r="A65" s="14">
        <v>-298965</v>
      </c>
      <c r="C65">
        <v>5898</v>
      </c>
      <c r="F65" s="7"/>
      <c r="G65" s="31"/>
      <c r="I65" s="14"/>
      <c r="J65">
        <v>-76175</v>
      </c>
      <c r="K65">
        <v>-228934</v>
      </c>
      <c r="N65" s="7"/>
      <c r="O65" s="31"/>
      <c r="AA65" s="14"/>
      <c r="AC65">
        <v>-224889</v>
      </c>
      <c r="AF65" s="7"/>
      <c r="BB65" s="14"/>
      <c r="BD65">
        <v>-303360</v>
      </c>
      <c r="BG65" s="7"/>
    </row>
    <row r="66" spans="1:59" x14ac:dyDescent="0.3">
      <c r="A66" s="14">
        <v>-299105</v>
      </c>
      <c r="C66">
        <v>5907</v>
      </c>
      <c r="F66" s="7"/>
      <c r="G66" s="31"/>
      <c r="I66" s="14"/>
      <c r="J66">
        <v>-76081</v>
      </c>
      <c r="K66">
        <v>-229090</v>
      </c>
      <c r="N66" s="7"/>
      <c r="O66" s="31"/>
      <c r="AA66" s="14"/>
      <c r="AC66">
        <v>-224870</v>
      </c>
      <c r="AF66" s="7"/>
      <c r="BB66" s="14"/>
      <c r="BD66">
        <v>-303653</v>
      </c>
      <c r="BG66" s="7"/>
    </row>
    <row r="67" spans="1:59" ht="15" thickBot="1" x14ac:dyDescent="0.35">
      <c r="A67" s="8">
        <v>-299094</v>
      </c>
      <c r="B67" s="9"/>
      <c r="C67" s="9">
        <v>5876</v>
      </c>
      <c r="D67" s="9"/>
      <c r="E67" s="9"/>
      <c r="F67" s="10"/>
      <c r="I67" s="8"/>
      <c r="J67" s="9">
        <v>-76125</v>
      </c>
      <c r="K67" s="9">
        <v>-228946</v>
      </c>
      <c r="L67" s="9"/>
      <c r="M67" s="9"/>
      <c r="N67" s="10"/>
      <c r="AA67" s="8"/>
      <c r="AB67" s="9"/>
      <c r="AC67" s="9">
        <v>-225634</v>
      </c>
      <c r="AD67" s="9"/>
      <c r="AE67" s="9"/>
      <c r="AF67" s="10"/>
      <c r="BB67" s="8"/>
      <c r="BC67" s="9"/>
      <c r="BD67" s="9">
        <v>-303282</v>
      </c>
      <c r="BE67" s="9"/>
      <c r="BF67" s="9"/>
      <c r="BG67" s="10"/>
    </row>
    <row r="68" spans="1:59" ht="15" thickBot="1" x14ac:dyDescent="0.35">
      <c r="A68" s="1">
        <f>AVERAGE(A58:A67)</f>
        <v>-299110.8</v>
      </c>
      <c r="I68" s="1"/>
      <c r="K68" s="1">
        <f>AVERAGE(K58:K67)</f>
        <v>-228963.7</v>
      </c>
      <c r="AA68" s="1"/>
      <c r="AC68" s="1">
        <f xml:space="preserve"> AVERAGE(AC58:AC67)</f>
        <v>-225020.79999999999</v>
      </c>
      <c r="BB68" s="1"/>
      <c r="BD68" s="1">
        <f xml:space="preserve"> AVERAGE(BD58:BD67)</f>
        <v>-303152.59999999998</v>
      </c>
    </row>
    <row r="69" spans="1:59" x14ac:dyDescent="0.3">
      <c r="A69" s="13">
        <v>-298703</v>
      </c>
      <c r="B69" s="3"/>
      <c r="C69" s="3">
        <v>5597</v>
      </c>
      <c r="D69" s="3"/>
      <c r="E69" s="3"/>
      <c r="F69" s="5"/>
      <c r="I69" s="13"/>
      <c r="J69" s="3">
        <v>-76067</v>
      </c>
      <c r="K69" s="3">
        <v>-229534</v>
      </c>
      <c r="L69" s="3"/>
      <c r="M69" s="3"/>
      <c r="N69" s="5"/>
      <c r="Z69">
        <v>4</v>
      </c>
      <c r="AA69" s="13"/>
      <c r="AB69" s="3"/>
      <c r="AC69" s="3">
        <v>-224713</v>
      </c>
      <c r="AD69" s="3"/>
      <c r="AE69" s="3"/>
      <c r="AF69" s="5"/>
      <c r="BA69">
        <v>4</v>
      </c>
      <c r="BB69" s="13"/>
      <c r="BC69" s="3"/>
      <c r="BD69" s="3">
        <v>-302793</v>
      </c>
      <c r="BE69" s="3"/>
      <c r="BF69" s="3"/>
      <c r="BG69" s="5"/>
    </row>
    <row r="70" spans="1:59" x14ac:dyDescent="0.3">
      <c r="A70" s="6">
        <v>-298888</v>
      </c>
      <c r="C70">
        <v>5572</v>
      </c>
      <c r="F70" s="7"/>
      <c r="I70" s="6"/>
      <c r="J70">
        <v>-76038</v>
      </c>
      <c r="K70">
        <v>-229684</v>
      </c>
      <c r="N70" s="7"/>
      <c r="AA70" s="6"/>
      <c r="AC70">
        <v>-224900</v>
      </c>
      <c r="AF70" s="7"/>
      <c r="BB70" s="6"/>
      <c r="BD70">
        <v>-302892</v>
      </c>
      <c r="BG70" s="7"/>
    </row>
    <row r="71" spans="1:59" x14ac:dyDescent="0.3">
      <c r="A71" s="6">
        <v>-298821</v>
      </c>
      <c r="C71">
        <v>5663</v>
      </c>
      <c r="F71" s="7"/>
      <c r="I71" s="6"/>
      <c r="J71">
        <v>-75972</v>
      </c>
      <c r="K71">
        <v>-229901</v>
      </c>
      <c r="N71" s="7"/>
      <c r="AA71" s="6"/>
      <c r="AC71">
        <v>-225325</v>
      </c>
      <c r="AF71" s="7"/>
      <c r="BB71" s="6"/>
      <c r="BD71">
        <v>-302766</v>
      </c>
      <c r="BG71" s="7"/>
    </row>
    <row r="72" spans="1:59" x14ac:dyDescent="0.3">
      <c r="A72" s="6">
        <v>-298670</v>
      </c>
      <c r="C72">
        <v>5610</v>
      </c>
      <c r="F72" s="7"/>
      <c r="G72" s="30">
        <v>4</v>
      </c>
      <c r="I72" s="6"/>
      <c r="J72">
        <v>-76113</v>
      </c>
      <c r="K72">
        <v>-229822</v>
      </c>
      <c r="N72" s="7"/>
      <c r="O72" s="30">
        <v>4</v>
      </c>
      <c r="AA72" s="6"/>
      <c r="AC72">
        <v>-225228</v>
      </c>
      <c r="AF72" s="7"/>
      <c r="BB72" s="6"/>
      <c r="BD72">
        <v>-302601</v>
      </c>
      <c r="BG72" s="7"/>
    </row>
    <row r="73" spans="1:59" x14ac:dyDescent="0.3">
      <c r="A73" s="6">
        <v>-298766</v>
      </c>
      <c r="C73">
        <v>5380</v>
      </c>
      <c r="F73" s="7"/>
      <c r="G73" s="30"/>
      <c r="I73" s="6"/>
      <c r="J73">
        <v>-76123</v>
      </c>
      <c r="K73">
        <v>-229987</v>
      </c>
      <c r="N73" s="7"/>
      <c r="O73" s="30"/>
      <c r="AA73" s="6"/>
      <c r="AC73">
        <v>-224557</v>
      </c>
      <c r="AF73" s="7"/>
      <c r="BB73" s="6"/>
      <c r="BD73">
        <v>-302513</v>
      </c>
      <c r="BG73" s="7"/>
    </row>
    <row r="74" spans="1:59" x14ac:dyDescent="0.3">
      <c r="A74" s="6">
        <v>-298934</v>
      </c>
      <c r="C74">
        <v>5638</v>
      </c>
      <c r="F74" s="7"/>
      <c r="G74" s="30"/>
      <c r="I74" s="6"/>
      <c r="J74">
        <v>-76059</v>
      </c>
      <c r="K74">
        <v>-230018</v>
      </c>
      <c r="N74" s="7"/>
      <c r="O74" s="30"/>
      <c r="AA74" s="6"/>
      <c r="AC74">
        <v>-224147</v>
      </c>
      <c r="AF74" s="7"/>
      <c r="BB74" s="6"/>
      <c r="BD74">
        <v>-302336</v>
      </c>
      <c r="BG74" s="7"/>
    </row>
    <row r="75" spans="1:59" x14ac:dyDescent="0.3">
      <c r="A75" s="6">
        <v>-298733</v>
      </c>
      <c r="C75">
        <v>5547</v>
      </c>
      <c r="F75" s="7"/>
      <c r="G75" s="30"/>
      <c r="I75" s="6"/>
      <c r="J75">
        <v>-76084</v>
      </c>
      <c r="K75">
        <v>-230357</v>
      </c>
      <c r="N75" s="7"/>
      <c r="O75" s="30"/>
      <c r="AA75" s="6"/>
      <c r="AC75">
        <v>-224515</v>
      </c>
      <c r="AF75" s="7"/>
      <c r="BB75" s="6"/>
      <c r="BD75">
        <v>-302347</v>
      </c>
      <c r="BG75" s="7"/>
    </row>
    <row r="76" spans="1:59" x14ac:dyDescent="0.3">
      <c r="A76" s="6">
        <v>-298659</v>
      </c>
      <c r="C76">
        <v>5536</v>
      </c>
      <c r="F76" s="7"/>
      <c r="G76" s="30"/>
      <c r="I76" s="6"/>
      <c r="J76">
        <v>-76163</v>
      </c>
      <c r="K76">
        <v>-230202</v>
      </c>
      <c r="N76" s="7"/>
      <c r="O76" s="30"/>
      <c r="AA76" s="6"/>
      <c r="AC76">
        <v>-224675</v>
      </c>
      <c r="AF76" s="7"/>
      <c r="BB76" s="6"/>
      <c r="BD76">
        <v>-302190</v>
      </c>
      <c r="BG76" s="7"/>
    </row>
    <row r="77" spans="1:59" x14ac:dyDescent="0.3">
      <c r="A77" s="6">
        <v>-298811</v>
      </c>
      <c r="C77">
        <v>5594</v>
      </c>
      <c r="F77" s="7"/>
      <c r="I77" s="6"/>
      <c r="J77">
        <v>-76044</v>
      </c>
      <c r="K77">
        <v>-230257</v>
      </c>
      <c r="N77" s="7"/>
      <c r="AA77" s="6"/>
      <c r="AC77">
        <v>-224765</v>
      </c>
      <c r="AF77" s="7"/>
      <c r="BB77" s="6"/>
      <c r="BD77">
        <v>-302311</v>
      </c>
      <c r="BG77" s="7"/>
    </row>
    <row r="78" spans="1:59" ht="15" thickBot="1" x14ac:dyDescent="0.35">
      <c r="A78" s="11">
        <v>-298748</v>
      </c>
      <c r="B78" s="9"/>
      <c r="C78" s="9">
        <v>5595</v>
      </c>
      <c r="D78" s="9"/>
      <c r="E78" s="9"/>
      <c r="F78" s="10"/>
      <c r="I78" s="11"/>
      <c r="J78" s="9">
        <v>-76057</v>
      </c>
      <c r="K78" s="9">
        <v>-230233</v>
      </c>
      <c r="L78" s="9"/>
      <c r="M78" s="9"/>
      <c r="N78" s="10"/>
      <c r="AA78" s="11"/>
      <c r="AB78" s="9"/>
      <c r="AC78" s="9">
        <v>-225345</v>
      </c>
      <c r="AD78" s="9"/>
      <c r="AE78" s="9"/>
      <c r="AF78" s="10"/>
      <c r="BB78" s="11"/>
      <c r="BC78" s="9"/>
      <c r="BD78" s="9">
        <v>-302451</v>
      </c>
      <c r="BE78" s="9"/>
      <c r="BF78" s="9"/>
      <c r="BG78" s="10"/>
    </row>
    <row r="79" spans="1:59" ht="15" thickBot="1" x14ac:dyDescent="0.35">
      <c r="A79" s="1">
        <f>AVERAGE(A69:A78)</f>
        <v>-298773.3</v>
      </c>
      <c r="K79" s="1">
        <f>AVERAGE(K69:K78)</f>
        <v>-229999.5</v>
      </c>
      <c r="AC79" s="1">
        <f xml:space="preserve"> AVERAGE(AC69:AC78)</f>
        <v>-224817</v>
      </c>
      <c r="BD79" s="1">
        <f xml:space="preserve"> AVERAGE(BD69:BD78)</f>
        <v>-302520</v>
      </c>
    </row>
    <row r="80" spans="1:59" x14ac:dyDescent="0.3">
      <c r="A80" s="13">
        <v>-244719</v>
      </c>
      <c r="B80" s="3"/>
      <c r="C80" s="3">
        <v>6583</v>
      </c>
      <c r="D80" s="3"/>
      <c r="E80" s="3"/>
      <c r="F80" s="5"/>
      <c r="I80" s="13"/>
      <c r="J80" s="3">
        <v>-74725</v>
      </c>
      <c r="K80" s="3">
        <v>-173607</v>
      </c>
      <c r="L80" s="3"/>
      <c r="M80" s="3"/>
      <c r="N80" s="5"/>
      <c r="Z80">
        <v>3</v>
      </c>
      <c r="AA80" s="13"/>
      <c r="AB80" s="3"/>
      <c r="AC80" s="3">
        <v>-170199</v>
      </c>
      <c r="AD80" s="3"/>
      <c r="AE80" s="3"/>
      <c r="AF80" s="5"/>
      <c r="BA80">
        <v>3</v>
      </c>
      <c r="BB80" s="13"/>
      <c r="BC80" s="3"/>
      <c r="BD80" s="3">
        <v>-247965</v>
      </c>
      <c r="BE80" s="3"/>
      <c r="BF80" s="3"/>
      <c r="BG80" s="5"/>
    </row>
    <row r="81" spans="1:59" x14ac:dyDescent="0.3">
      <c r="A81" s="6">
        <v>-244763</v>
      </c>
      <c r="C81">
        <v>6558</v>
      </c>
      <c r="F81" s="7"/>
      <c r="I81" s="6"/>
      <c r="J81">
        <v>-74552</v>
      </c>
      <c r="K81">
        <v>-173549</v>
      </c>
      <c r="N81" s="7"/>
      <c r="AA81" s="6"/>
      <c r="AC81">
        <v>-170684</v>
      </c>
      <c r="AF81" s="7"/>
      <c r="BB81" s="6"/>
      <c r="BD81">
        <v>-247995</v>
      </c>
      <c r="BG81" s="7"/>
    </row>
    <row r="82" spans="1:59" x14ac:dyDescent="0.3">
      <c r="A82" s="6">
        <v>-245014</v>
      </c>
      <c r="C82">
        <v>6462</v>
      </c>
      <c r="F82" s="7"/>
      <c r="I82" s="6"/>
      <c r="J82">
        <v>-74557</v>
      </c>
      <c r="K82">
        <v>-173674</v>
      </c>
      <c r="N82" s="7"/>
      <c r="AA82" s="6"/>
      <c r="AC82">
        <v>-170869</v>
      </c>
      <c r="AF82" s="7"/>
      <c r="BB82" s="6"/>
      <c r="BD82">
        <v>-247971</v>
      </c>
      <c r="BG82" s="7"/>
    </row>
    <row r="83" spans="1:59" x14ac:dyDescent="0.3">
      <c r="A83" s="6">
        <v>-244603</v>
      </c>
      <c r="C83">
        <v>6729</v>
      </c>
      <c r="F83" s="7"/>
      <c r="G83" s="30">
        <v>3</v>
      </c>
      <c r="I83" s="6"/>
      <c r="J83">
        <v>-74693</v>
      </c>
      <c r="K83">
        <v>-173579</v>
      </c>
      <c r="N83" s="7"/>
      <c r="O83" s="30">
        <v>3</v>
      </c>
      <c r="AA83" s="6"/>
      <c r="AC83">
        <v>-170454</v>
      </c>
      <c r="AF83" s="7"/>
      <c r="BB83" s="6"/>
      <c r="BD83">
        <v>-247901</v>
      </c>
      <c r="BG83" s="7"/>
    </row>
    <row r="84" spans="1:59" x14ac:dyDescent="0.3">
      <c r="A84" s="6">
        <v>-244550</v>
      </c>
      <c r="C84">
        <v>6759</v>
      </c>
      <c r="F84" s="7"/>
      <c r="G84" s="30"/>
      <c r="I84" s="6"/>
      <c r="J84">
        <v>-74761</v>
      </c>
      <c r="K84">
        <v>-173598</v>
      </c>
      <c r="N84" s="7"/>
      <c r="O84" s="30"/>
      <c r="AA84" s="6"/>
      <c r="AC84">
        <v>-170039</v>
      </c>
      <c r="AF84" s="7"/>
      <c r="BB84" s="6"/>
      <c r="BD84">
        <v>-247783</v>
      </c>
      <c r="BG84" s="7"/>
    </row>
    <row r="85" spans="1:59" x14ac:dyDescent="0.3">
      <c r="A85" s="6">
        <v>-244957</v>
      </c>
      <c r="C85">
        <v>6821</v>
      </c>
      <c r="F85" s="7"/>
      <c r="G85" s="30"/>
      <c r="I85" s="6"/>
      <c r="J85">
        <v>-74885</v>
      </c>
      <c r="K85">
        <v>-173747</v>
      </c>
      <c r="N85" s="7"/>
      <c r="O85" s="30"/>
      <c r="AA85" s="6"/>
      <c r="AC85">
        <v>-170131</v>
      </c>
      <c r="AF85" s="7"/>
      <c r="BB85" s="6"/>
      <c r="BD85">
        <v>-247538</v>
      </c>
      <c r="BG85" s="7"/>
    </row>
    <row r="86" spans="1:59" x14ac:dyDescent="0.3">
      <c r="A86" s="6">
        <v>-244690</v>
      </c>
      <c r="C86">
        <v>6850</v>
      </c>
      <c r="F86" s="7"/>
      <c r="G86" s="30"/>
      <c r="I86" s="6"/>
      <c r="J86">
        <v>-75047</v>
      </c>
      <c r="K86">
        <v>-173814</v>
      </c>
      <c r="N86" s="7"/>
      <c r="O86" s="30"/>
      <c r="AA86" s="6"/>
      <c r="AC86">
        <v>-170295</v>
      </c>
      <c r="AF86" s="7"/>
      <c r="BB86" s="6"/>
      <c r="BD86">
        <v>-247470</v>
      </c>
      <c r="BG86" s="7"/>
    </row>
    <row r="87" spans="1:59" x14ac:dyDescent="0.3">
      <c r="A87" s="6">
        <v>-244601</v>
      </c>
      <c r="C87">
        <v>6898</v>
      </c>
      <c r="F87" s="7"/>
      <c r="G87" s="30"/>
      <c r="I87" s="6"/>
      <c r="J87">
        <v>-75194</v>
      </c>
      <c r="K87">
        <v>-173788</v>
      </c>
      <c r="N87" s="7"/>
      <c r="O87" s="30"/>
      <c r="AA87" s="6"/>
      <c r="AC87">
        <v>-170325</v>
      </c>
      <c r="AF87" s="7"/>
      <c r="BB87" s="6"/>
      <c r="BD87">
        <v>-247109</v>
      </c>
      <c r="BG87" s="7"/>
    </row>
    <row r="88" spans="1:59" x14ac:dyDescent="0.3">
      <c r="A88" s="6">
        <v>-244780</v>
      </c>
      <c r="C88">
        <v>6840</v>
      </c>
      <c r="F88" s="7"/>
      <c r="I88" s="6"/>
      <c r="J88">
        <v>-75124</v>
      </c>
      <c r="K88">
        <v>-173876</v>
      </c>
      <c r="N88" s="7"/>
      <c r="AA88" s="6"/>
      <c r="AC88">
        <v>-170689</v>
      </c>
      <c r="AF88" s="7"/>
      <c r="BB88" s="6"/>
      <c r="BD88">
        <v>-246971</v>
      </c>
      <c r="BG88" s="7"/>
    </row>
    <row r="89" spans="1:59" ht="15" thickBot="1" x14ac:dyDescent="0.35">
      <c r="A89" s="11">
        <v>-244697</v>
      </c>
      <c r="B89" s="9"/>
      <c r="C89" s="9">
        <v>6946</v>
      </c>
      <c r="D89" s="9"/>
      <c r="E89" s="9"/>
      <c r="F89" s="10"/>
      <c r="I89" s="11"/>
      <c r="J89" s="9">
        <v>-75238</v>
      </c>
      <c r="K89" s="9">
        <v>-173976</v>
      </c>
      <c r="L89" s="9"/>
      <c r="M89" s="9"/>
      <c r="N89" s="10"/>
      <c r="AA89" s="11"/>
      <c r="AB89" s="9"/>
      <c r="AC89" s="9">
        <v>-170779</v>
      </c>
      <c r="AD89" s="9"/>
      <c r="AE89" s="9"/>
      <c r="AF89" s="10"/>
      <c r="BB89" s="11"/>
      <c r="BC89" s="9"/>
      <c r="BD89" s="9">
        <v>-247097</v>
      </c>
      <c r="BE89" s="9"/>
      <c r="BF89" s="9"/>
      <c r="BG89" s="10"/>
    </row>
    <row r="90" spans="1:59" ht="15" thickBot="1" x14ac:dyDescent="0.35">
      <c r="A90" s="1">
        <f>AVERAGE(A80:A89)</f>
        <v>-244737.4</v>
      </c>
      <c r="K90" s="1">
        <f>AVERAGE(K80:K89)</f>
        <v>-173720.8</v>
      </c>
      <c r="AC90" s="1">
        <f xml:space="preserve"> AVERAGE(AC80:AC89)</f>
        <v>-170446.4</v>
      </c>
      <c r="BD90" s="1">
        <f xml:space="preserve"> AVERAGE(BD80:BD89)</f>
        <v>-247580</v>
      </c>
    </row>
    <row r="91" spans="1:59" x14ac:dyDescent="0.3">
      <c r="A91" s="13">
        <v>-190368</v>
      </c>
      <c r="B91" s="3"/>
      <c r="C91" s="3">
        <v>7077</v>
      </c>
      <c r="D91" s="3"/>
      <c r="E91" s="3"/>
      <c r="F91" s="5"/>
      <c r="I91" s="13"/>
      <c r="J91" s="3">
        <v>-71251</v>
      </c>
      <c r="K91" s="3">
        <v>-119346</v>
      </c>
      <c r="L91" s="3"/>
      <c r="M91" s="3"/>
      <c r="N91" s="5"/>
      <c r="Z91">
        <v>2</v>
      </c>
      <c r="AA91" s="13"/>
      <c r="AB91" s="3"/>
      <c r="AC91" s="3">
        <v>-115656</v>
      </c>
      <c r="AD91" s="3"/>
      <c r="AE91" s="3"/>
      <c r="AF91" s="5"/>
      <c r="BA91">
        <v>2</v>
      </c>
      <c r="BB91" s="13"/>
      <c r="BC91" s="3"/>
      <c r="BD91" s="3">
        <v>-192548</v>
      </c>
      <c r="BE91" s="3"/>
      <c r="BF91" s="3"/>
      <c r="BG91" s="5"/>
    </row>
    <row r="92" spans="1:59" x14ac:dyDescent="0.3">
      <c r="A92" s="6">
        <v>-190572</v>
      </c>
      <c r="C92">
        <v>6924</v>
      </c>
      <c r="F92" s="7"/>
      <c r="I92" s="6"/>
      <c r="J92">
        <v>-71459</v>
      </c>
      <c r="K92">
        <v>-119452</v>
      </c>
      <c r="N92" s="7"/>
      <c r="AA92" s="6"/>
      <c r="AC92">
        <v>-115981</v>
      </c>
      <c r="AF92" s="7"/>
      <c r="BB92" s="6"/>
      <c r="BD92">
        <v>-192668</v>
      </c>
      <c r="BG92" s="7"/>
    </row>
    <row r="93" spans="1:59" x14ac:dyDescent="0.3">
      <c r="A93" s="6">
        <v>-190574</v>
      </c>
      <c r="C93">
        <v>6887</v>
      </c>
      <c r="F93" s="7"/>
      <c r="I93" s="6"/>
      <c r="J93">
        <v>-71305</v>
      </c>
      <c r="K93">
        <v>-119236</v>
      </c>
      <c r="N93" s="7"/>
      <c r="AA93" s="6"/>
      <c r="AC93">
        <v>-115944</v>
      </c>
      <c r="AF93" s="7"/>
      <c r="BB93" s="6"/>
      <c r="BD93">
        <v>-192610</v>
      </c>
      <c r="BG93" s="7"/>
    </row>
    <row r="94" spans="1:59" x14ac:dyDescent="0.3">
      <c r="A94" s="6">
        <v>-190650</v>
      </c>
      <c r="C94">
        <v>7091</v>
      </c>
      <c r="F94" s="7"/>
      <c r="G94" s="30">
        <v>2</v>
      </c>
      <c r="I94" s="6"/>
      <c r="J94">
        <v>-71262</v>
      </c>
      <c r="K94">
        <v>-119320</v>
      </c>
      <c r="N94" s="7"/>
      <c r="O94" s="30">
        <v>2</v>
      </c>
      <c r="AA94" s="6"/>
      <c r="AC94">
        <v>-116045</v>
      </c>
      <c r="AF94" s="7"/>
      <c r="BB94" s="6"/>
      <c r="BD94">
        <v>-192495</v>
      </c>
      <c r="BG94" s="7"/>
    </row>
    <row r="95" spans="1:59" x14ac:dyDescent="0.3">
      <c r="A95" s="6">
        <v>-190701</v>
      </c>
      <c r="C95">
        <v>6987</v>
      </c>
      <c r="F95" s="7"/>
      <c r="G95" s="30"/>
      <c r="I95" s="6"/>
      <c r="J95">
        <v>-71269</v>
      </c>
      <c r="K95">
        <v>-119418</v>
      </c>
      <c r="N95" s="7"/>
      <c r="O95" s="30"/>
      <c r="AA95" s="6"/>
      <c r="AC95">
        <v>-116662</v>
      </c>
      <c r="AF95" s="7"/>
      <c r="BB95" s="6"/>
      <c r="BD95">
        <v>-192583</v>
      </c>
      <c r="BG95" s="7"/>
    </row>
    <row r="96" spans="1:59" x14ac:dyDescent="0.3">
      <c r="A96" s="6">
        <v>-190546</v>
      </c>
      <c r="C96">
        <v>6980</v>
      </c>
      <c r="F96" s="7"/>
      <c r="G96" s="30"/>
      <c r="I96" s="6"/>
      <c r="J96">
        <v>-71279</v>
      </c>
      <c r="K96">
        <v>-119228</v>
      </c>
      <c r="N96" s="7"/>
      <c r="O96" s="30"/>
      <c r="AA96" s="6"/>
      <c r="AC96">
        <v>-116438</v>
      </c>
      <c r="AF96" s="7"/>
      <c r="BB96" s="6"/>
      <c r="BD96">
        <v>-192640</v>
      </c>
      <c r="BG96" s="7"/>
    </row>
    <row r="97" spans="1:59" x14ac:dyDescent="0.3">
      <c r="A97" s="6">
        <v>-190805</v>
      </c>
      <c r="C97">
        <v>6997</v>
      </c>
      <c r="F97" s="7"/>
      <c r="G97" s="30"/>
      <c r="I97" s="6"/>
      <c r="J97">
        <v>-71282</v>
      </c>
      <c r="K97">
        <v>-119224</v>
      </c>
      <c r="N97" s="7"/>
      <c r="O97" s="30"/>
      <c r="AA97" s="6"/>
      <c r="AC97">
        <v>-115701</v>
      </c>
      <c r="AF97" s="7"/>
      <c r="BB97" s="6"/>
      <c r="BD97">
        <v>-192538</v>
      </c>
      <c r="BG97" s="7"/>
    </row>
    <row r="98" spans="1:59" x14ac:dyDescent="0.3">
      <c r="A98" s="6">
        <v>-190619</v>
      </c>
      <c r="C98">
        <v>6973</v>
      </c>
      <c r="F98" s="7"/>
      <c r="G98" s="30"/>
      <c r="I98" s="6"/>
      <c r="J98">
        <v>-71375</v>
      </c>
      <c r="K98">
        <v>-119217</v>
      </c>
      <c r="N98" s="7"/>
      <c r="O98" s="30"/>
      <c r="AA98" s="6"/>
      <c r="AC98">
        <v>-115526</v>
      </c>
      <c r="AF98" s="7"/>
      <c r="BB98" s="6"/>
      <c r="BD98">
        <v>-192377</v>
      </c>
      <c r="BG98" s="7"/>
    </row>
    <row r="99" spans="1:59" x14ac:dyDescent="0.3">
      <c r="A99" s="6">
        <v>-190657</v>
      </c>
      <c r="C99">
        <v>6875</v>
      </c>
      <c r="F99" s="7"/>
      <c r="I99" s="6"/>
      <c r="J99">
        <v>-71391</v>
      </c>
      <c r="K99">
        <v>-119113</v>
      </c>
      <c r="N99" s="7"/>
      <c r="AA99" s="6"/>
      <c r="AC99">
        <v>-115866</v>
      </c>
      <c r="AF99" s="7"/>
      <c r="BB99" s="6"/>
      <c r="BD99">
        <v>-192258</v>
      </c>
      <c r="BG99" s="7"/>
    </row>
    <row r="100" spans="1:59" ht="15" thickBot="1" x14ac:dyDescent="0.35">
      <c r="A100" s="11">
        <v>-190797</v>
      </c>
      <c r="B100" s="9"/>
      <c r="C100" s="9">
        <v>6976</v>
      </c>
      <c r="D100" s="9"/>
      <c r="E100" s="9"/>
      <c r="F100" s="10"/>
      <c r="I100" s="11"/>
      <c r="J100" s="9">
        <v>-71207</v>
      </c>
      <c r="K100" s="9">
        <v>-119300</v>
      </c>
      <c r="L100" s="9"/>
      <c r="M100" s="9"/>
      <c r="N100" s="10"/>
      <c r="AA100" s="11"/>
      <c r="AB100" s="9"/>
      <c r="AC100" s="9">
        <v>-116098</v>
      </c>
      <c r="AD100" s="9"/>
      <c r="AE100" s="9"/>
      <c r="AF100" s="10"/>
      <c r="BB100" s="11"/>
      <c r="BC100" s="9"/>
      <c r="BD100" s="9">
        <v>-192341</v>
      </c>
      <c r="BE100" s="9"/>
      <c r="BF100" s="9"/>
      <c r="BG100" s="10"/>
    </row>
    <row r="101" spans="1:59" ht="15" thickBot="1" x14ac:dyDescent="0.35">
      <c r="A101" s="1">
        <f>AVERAGE(A91:A100)</f>
        <v>-190628.9</v>
      </c>
      <c r="K101" s="1">
        <f>AVERAGE(K91:K100)</f>
        <v>-119285.4</v>
      </c>
      <c r="AC101" s="1">
        <f xml:space="preserve"> AVERAGE(AC91:AC100)</f>
        <v>-115991.7</v>
      </c>
      <c r="BD101" s="1">
        <f xml:space="preserve"> AVERAGE(BD91:BD100)</f>
        <v>-192505.8</v>
      </c>
    </row>
    <row r="102" spans="1:59" x14ac:dyDescent="0.3">
      <c r="A102" s="13">
        <v>-136561</v>
      </c>
      <c r="B102" s="3"/>
      <c r="C102" s="3">
        <v>7085</v>
      </c>
      <c r="D102" s="3"/>
      <c r="E102" s="3"/>
      <c r="F102" s="5"/>
      <c r="I102" s="13"/>
      <c r="J102" s="3">
        <v>-69148</v>
      </c>
      <c r="K102" s="3">
        <v>-64230</v>
      </c>
      <c r="L102" s="3"/>
      <c r="M102" s="3"/>
      <c r="N102" s="5"/>
      <c r="Z102">
        <v>1</v>
      </c>
      <c r="AA102" s="13"/>
      <c r="AB102" s="3"/>
      <c r="AC102" s="3">
        <v>-61196</v>
      </c>
      <c r="AD102" s="3"/>
      <c r="AE102" s="3"/>
      <c r="AF102" s="5"/>
      <c r="BA102">
        <v>1</v>
      </c>
      <c r="BB102" s="13"/>
      <c r="BC102" s="3"/>
      <c r="BD102" s="3">
        <v>-136972</v>
      </c>
      <c r="BE102" s="3"/>
      <c r="BF102" s="3"/>
      <c r="BG102" s="5"/>
    </row>
    <row r="103" spans="1:59" x14ac:dyDescent="0.3">
      <c r="A103" s="6">
        <v>-136635</v>
      </c>
      <c r="C103">
        <v>7127</v>
      </c>
      <c r="F103" s="7"/>
      <c r="I103" s="6"/>
      <c r="J103">
        <v>-69102</v>
      </c>
      <c r="K103">
        <v>-64136</v>
      </c>
      <c r="N103" s="7"/>
      <c r="AA103" s="6"/>
      <c r="AC103">
        <v>-61355</v>
      </c>
      <c r="AF103" s="7"/>
      <c r="BB103" s="6"/>
      <c r="BD103">
        <v>-136958</v>
      </c>
      <c r="BG103" s="7"/>
    </row>
    <row r="104" spans="1:59" x14ac:dyDescent="0.3">
      <c r="A104" s="6">
        <v>-136583</v>
      </c>
      <c r="C104">
        <v>7325</v>
      </c>
      <c r="F104" s="7"/>
      <c r="I104" s="6"/>
      <c r="J104">
        <v>-69180</v>
      </c>
      <c r="K104">
        <v>-64339</v>
      </c>
      <c r="N104" s="7"/>
      <c r="AA104" s="6"/>
      <c r="AC104">
        <v>-61713</v>
      </c>
      <c r="AF104" s="7"/>
      <c r="BB104" s="6"/>
      <c r="BD104">
        <v>-137024</v>
      </c>
      <c r="BG104" s="7"/>
    </row>
    <row r="105" spans="1:59" x14ac:dyDescent="0.3">
      <c r="A105" s="6">
        <v>-136600</v>
      </c>
      <c r="C105">
        <v>7194</v>
      </c>
      <c r="F105" s="7"/>
      <c r="G105" s="30">
        <v>1</v>
      </c>
      <c r="I105" s="6"/>
      <c r="J105">
        <v>-69299</v>
      </c>
      <c r="K105">
        <v>-64051</v>
      </c>
      <c r="N105" s="7"/>
      <c r="O105" s="30">
        <v>1</v>
      </c>
      <c r="AA105" s="6"/>
      <c r="AC105">
        <v>-61818</v>
      </c>
      <c r="AF105" s="7"/>
      <c r="BB105" s="6"/>
      <c r="BD105">
        <v>-136635</v>
      </c>
      <c r="BG105" s="7"/>
    </row>
    <row r="106" spans="1:59" x14ac:dyDescent="0.3">
      <c r="A106" s="6">
        <v>-136655</v>
      </c>
      <c r="C106">
        <v>7222</v>
      </c>
      <c r="F106" s="7"/>
      <c r="G106" s="30"/>
      <c r="I106" s="6"/>
      <c r="J106">
        <v>-69169</v>
      </c>
      <c r="K106">
        <v>-64085</v>
      </c>
      <c r="N106" s="7"/>
      <c r="O106" s="30"/>
      <c r="AA106" s="6"/>
      <c r="AC106">
        <v>-61465</v>
      </c>
      <c r="AF106" s="7"/>
      <c r="BB106" s="6"/>
      <c r="BD106">
        <v>-136472</v>
      </c>
      <c r="BG106" s="7"/>
    </row>
    <row r="107" spans="1:59" x14ac:dyDescent="0.3">
      <c r="A107" s="6">
        <v>-136689</v>
      </c>
      <c r="C107">
        <v>7231</v>
      </c>
      <c r="F107" s="7"/>
      <c r="G107" s="30"/>
      <c r="I107" s="6"/>
      <c r="J107">
        <v>-69131</v>
      </c>
      <c r="K107">
        <v>-64289</v>
      </c>
      <c r="N107" s="7"/>
      <c r="O107" s="30"/>
      <c r="AA107" s="6"/>
      <c r="AC107">
        <v>-61005</v>
      </c>
      <c r="AF107" s="7"/>
      <c r="BB107" s="6"/>
      <c r="BD107">
        <v>-137004</v>
      </c>
      <c r="BG107" s="7"/>
    </row>
    <row r="108" spans="1:59" x14ac:dyDescent="0.3">
      <c r="A108" s="6">
        <v>-136665</v>
      </c>
      <c r="C108">
        <v>7241</v>
      </c>
      <c r="F108" s="7"/>
      <c r="G108" s="30"/>
      <c r="I108" s="6"/>
      <c r="J108">
        <v>-69025</v>
      </c>
      <c r="K108">
        <v>-64179</v>
      </c>
      <c r="N108" s="7"/>
      <c r="O108" s="30"/>
      <c r="AA108" s="6"/>
      <c r="AC108">
        <v>-61072</v>
      </c>
      <c r="AF108" s="7"/>
      <c r="BB108" s="6"/>
      <c r="BD108">
        <v>-137243</v>
      </c>
      <c r="BG108" s="7"/>
    </row>
    <row r="109" spans="1:59" x14ac:dyDescent="0.3">
      <c r="A109" s="6">
        <v>-136633</v>
      </c>
      <c r="C109">
        <v>7182</v>
      </c>
      <c r="F109" s="7"/>
      <c r="G109" s="30"/>
      <c r="I109" s="6"/>
      <c r="J109">
        <v>-69076</v>
      </c>
      <c r="K109">
        <v>-63929</v>
      </c>
      <c r="N109" s="7"/>
      <c r="O109" s="30"/>
      <c r="AA109" s="6"/>
      <c r="AC109">
        <v>-61414</v>
      </c>
      <c r="AF109" s="7"/>
      <c r="BB109" s="6"/>
      <c r="BD109">
        <v>-137438</v>
      </c>
      <c r="BG109" s="7"/>
    </row>
    <row r="110" spans="1:59" x14ac:dyDescent="0.3">
      <c r="A110" s="6">
        <v>-136700</v>
      </c>
      <c r="C110">
        <v>7252</v>
      </c>
      <c r="F110" s="7"/>
      <c r="I110" s="6"/>
      <c r="J110">
        <v>-69032</v>
      </c>
      <c r="K110">
        <v>-64036</v>
      </c>
      <c r="N110" s="7"/>
      <c r="AA110" s="6"/>
      <c r="AC110">
        <v>-61289</v>
      </c>
      <c r="AF110" s="7"/>
      <c r="BB110" s="6"/>
      <c r="BD110">
        <v>-137366</v>
      </c>
      <c r="BG110" s="7"/>
    </row>
    <row r="111" spans="1:59" ht="15" thickBot="1" x14ac:dyDescent="0.35">
      <c r="A111" s="11">
        <v>-136650</v>
      </c>
      <c r="B111" s="9"/>
      <c r="C111" s="9">
        <v>7420</v>
      </c>
      <c r="D111" s="9"/>
      <c r="E111" s="9"/>
      <c r="F111" s="10"/>
      <c r="I111" s="11"/>
      <c r="J111" s="9">
        <v>-69060</v>
      </c>
      <c r="K111" s="9">
        <v>-64055</v>
      </c>
      <c r="L111" s="9"/>
      <c r="M111" s="9"/>
      <c r="N111" s="10"/>
      <c r="AA111" s="11"/>
      <c r="AB111" s="9"/>
      <c r="AC111" s="9">
        <v>-61453</v>
      </c>
      <c r="AD111" s="9"/>
      <c r="AE111" s="9"/>
      <c r="AF111" s="10"/>
      <c r="BB111" s="11"/>
      <c r="BC111" s="9"/>
      <c r="BD111" s="9">
        <v>-137438</v>
      </c>
      <c r="BE111" s="9"/>
      <c r="BF111" s="9"/>
      <c r="BG111" s="10"/>
    </row>
    <row r="112" spans="1:59" ht="15" thickBot="1" x14ac:dyDescent="0.35">
      <c r="A112" s="1">
        <f>AVERAGE(A102:A111)</f>
        <v>-136637.1</v>
      </c>
      <c r="K112" s="1">
        <f>AVERAGE(K102:K111)</f>
        <v>-64132.9</v>
      </c>
      <c r="AC112" s="1">
        <f xml:space="preserve"> AVERAGE(AC102:AC111)</f>
        <v>-61378</v>
      </c>
      <c r="BD112" s="1">
        <f xml:space="preserve"> AVERAGE(BD102:BD111)</f>
        <v>-137055</v>
      </c>
    </row>
    <row r="113" spans="1:59" x14ac:dyDescent="0.3">
      <c r="A113" s="13">
        <v>-109341</v>
      </c>
      <c r="B113" s="3"/>
      <c r="C113" s="3">
        <v>7816</v>
      </c>
      <c r="D113" s="3"/>
      <c r="E113" s="3"/>
      <c r="F113" s="5"/>
      <c r="I113" s="13"/>
      <c r="J113" s="3">
        <v>-67876</v>
      </c>
      <c r="K113" s="3">
        <v>-36505</v>
      </c>
      <c r="L113" s="3"/>
      <c r="M113" s="3"/>
      <c r="N113" s="5"/>
      <c r="Z113">
        <v>0.5</v>
      </c>
      <c r="AA113" s="13"/>
      <c r="AB113" s="3"/>
      <c r="AC113" s="3">
        <v>-34214</v>
      </c>
      <c r="AD113" s="3"/>
      <c r="AE113" s="3"/>
      <c r="AF113" s="5"/>
      <c r="BA113">
        <v>0.5</v>
      </c>
      <c r="BB113" s="13"/>
      <c r="BC113" s="3"/>
      <c r="BD113" s="3">
        <v>-109405</v>
      </c>
      <c r="BE113" s="3"/>
      <c r="BF113" s="3"/>
      <c r="BG113" s="5"/>
    </row>
    <row r="114" spans="1:59" x14ac:dyDescent="0.3">
      <c r="A114" s="6">
        <v>-109346</v>
      </c>
      <c r="C114">
        <v>7704</v>
      </c>
      <c r="F114" s="7"/>
      <c r="I114" s="6"/>
      <c r="J114">
        <v>-67685</v>
      </c>
      <c r="K114">
        <v>-36614</v>
      </c>
      <c r="N114" s="7"/>
      <c r="AA114" s="6"/>
      <c r="AC114">
        <v>-34319</v>
      </c>
      <c r="AF114" s="7"/>
      <c r="BB114" s="6"/>
      <c r="BD114">
        <v>-109289</v>
      </c>
      <c r="BG114" s="7"/>
    </row>
    <row r="115" spans="1:59" x14ac:dyDescent="0.3">
      <c r="A115" s="6">
        <v>-109359</v>
      </c>
      <c r="C115">
        <v>7739</v>
      </c>
      <c r="F115" s="7"/>
      <c r="I115" s="6"/>
      <c r="J115">
        <v>-67802</v>
      </c>
      <c r="K115">
        <v>-36532</v>
      </c>
      <c r="N115" s="7"/>
      <c r="AA115" s="6"/>
      <c r="AC115">
        <v>-34605</v>
      </c>
      <c r="AF115" s="7"/>
      <c r="BB115" s="6"/>
      <c r="BD115">
        <v>-109668</v>
      </c>
      <c r="BG115" s="7"/>
    </row>
    <row r="116" spans="1:59" x14ac:dyDescent="0.3">
      <c r="A116" s="6">
        <v>-109343</v>
      </c>
      <c r="C116">
        <v>7846</v>
      </c>
      <c r="F116" s="7"/>
      <c r="G116" s="30">
        <v>0.5</v>
      </c>
      <c r="I116" s="6"/>
      <c r="J116">
        <v>-67727</v>
      </c>
      <c r="K116">
        <v>-36470</v>
      </c>
      <c r="N116" s="7"/>
      <c r="O116" s="30">
        <v>0.5</v>
      </c>
      <c r="AA116" s="6"/>
      <c r="AC116">
        <v>-34745</v>
      </c>
      <c r="AF116" s="7"/>
      <c r="BB116" s="6"/>
      <c r="BD116">
        <v>-109683</v>
      </c>
      <c r="BG116" s="7"/>
    </row>
    <row r="117" spans="1:59" x14ac:dyDescent="0.3">
      <c r="A117" s="6">
        <v>-109187</v>
      </c>
      <c r="C117">
        <v>7670</v>
      </c>
      <c r="F117" s="7"/>
      <c r="G117" s="30"/>
      <c r="I117" s="6"/>
      <c r="J117">
        <v>-67646</v>
      </c>
      <c r="K117">
        <v>-36189</v>
      </c>
      <c r="N117" s="7"/>
      <c r="O117" s="30"/>
      <c r="AA117" s="6"/>
      <c r="AC117">
        <v>-34028</v>
      </c>
      <c r="AF117" s="7"/>
      <c r="BB117" s="6"/>
      <c r="BD117">
        <v>-109576</v>
      </c>
      <c r="BG117" s="7"/>
    </row>
    <row r="118" spans="1:59" x14ac:dyDescent="0.3">
      <c r="A118" s="6">
        <v>-109189</v>
      </c>
      <c r="C118">
        <v>7816</v>
      </c>
      <c r="F118" s="7"/>
      <c r="G118" s="30"/>
      <c r="I118" s="6"/>
      <c r="J118">
        <v>-67652</v>
      </c>
      <c r="K118">
        <v>-36381</v>
      </c>
      <c r="N118" s="7"/>
      <c r="O118" s="30"/>
      <c r="AA118" s="6"/>
      <c r="AC118">
        <v>-33783</v>
      </c>
      <c r="AF118" s="7"/>
      <c r="BB118" s="6"/>
      <c r="BD118">
        <v>-109573</v>
      </c>
      <c r="BG118" s="7"/>
    </row>
    <row r="119" spans="1:59" x14ac:dyDescent="0.3">
      <c r="A119" s="6">
        <v>-109388</v>
      </c>
      <c r="C119">
        <v>7963</v>
      </c>
      <c r="F119" s="7"/>
      <c r="G119" s="30"/>
      <c r="I119" s="6"/>
      <c r="J119">
        <v>-67854</v>
      </c>
      <c r="K119">
        <v>-36322</v>
      </c>
      <c r="N119" s="7"/>
      <c r="O119" s="30"/>
      <c r="AA119" s="6"/>
      <c r="AC119">
        <v>-34210</v>
      </c>
      <c r="AF119" s="7"/>
      <c r="BB119" s="6"/>
      <c r="BD119">
        <v>-109519</v>
      </c>
      <c r="BG119" s="7"/>
    </row>
    <row r="120" spans="1:59" x14ac:dyDescent="0.3">
      <c r="A120" s="6">
        <v>-109148</v>
      </c>
      <c r="C120">
        <v>7679</v>
      </c>
      <c r="F120" s="7"/>
      <c r="G120" s="30"/>
      <c r="I120" s="6"/>
      <c r="J120">
        <v>-67965</v>
      </c>
      <c r="K120">
        <v>-36202</v>
      </c>
      <c r="N120" s="7"/>
      <c r="O120" s="30"/>
      <c r="AA120" s="6"/>
      <c r="AC120">
        <v>-34187</v>
      </c>
      <c r="AF120" s="7"/>
      <c r="BB120" s="6"/>
      <c r="BD120">
        <v>-109514</v>
      </c>
      <c r="BG120" s="7"/>
    </row>
    <row r="121" spans="1:59" x14ac:dyDescent="0.3">
      <c r="A121" s="6">
        <v>-109248</v>
      </c>
      <c r="C121">
        <v>7738</v>
      </c>
      <c r="F121" s="7"/>
      <c r="I121" s="6"/>
      <c r="J121">
        <v>-67672</v>
      </c>
      <c r="K121">
        <v>-36376</v>
      </c>
      <c r="N121" s="7"/>
      <c r="AA121" s="6"/>
      <c r="AC121">
        <v>-34389</v>
      </c>
      <c r="AF121" s="7"/>
      <c r="BB121" s="6"/>
      <c r="BD121">
        <v>-109479</v>
      </c>
      <c r="BG121" s="7"/>
    </row>
    <row r="122" spans="1:59" ht="15" thickBot="1" x14ac:dyDescent="0.35">
      <c r="A122" s="11">
        <v>-109257</v>
      </c>
      <c r="B122" s="9"/>
      <c r="C122" s="9">
        <v>7759</v>
      </c>
      <c r="D122" s="9"/>
      <c r="E122" s="9"/>
      <c r="F122" s="10"/>
      <c r="I122" s="11"/>
      <c r="J122" s="9">
        <v>-67768</v>
      </c>
      <c r="K122" s="9">
        <v>-36282</v>
      </c>
      <c r="L122" s="9"/>
      <c r="M122" s="9"/>
      <c r="N122" s="10"/>
      <c r="AA122" s="11"/>
      <c r="AB122" s="9"/>
      <c r="AC122" s="9">
        <v>-34654</v>
      </c>
      <c r="AD122" s="9"/>
      <c r="AE122" s="9"/>
      <c r="AF122" s="10"/>
      <c r="BB122" s="11"/>
      <c r="BC122" s="9"/>
      <c r="BD122" s="9">
        <v>-109660</v>
      </c>
      <c r="BE122" s="9"/>
      <c r="BF122" s="9"/>
      <c r="BG122" s="10"/>
    </row>
    <row r="123" spans="1:59" ht="15" thickBot="1" x14ac:dyDescent="0.35">
      <c r="A123" s="1">
        <f>AVERAGE(A113:A122)</f>
        <v>-109280.6</v>
      </c>
      <c r="K123" s="1">
        <f>AVERAGE(K113:K122)</f>
        <v>-36387.300000000003</v>
      </c>
      <c r="AC123" s="1">
        <f xml:space="preserve"> AVERAGE(AC113:AC122)</f>
        <v>-34313.4</v>
      </c>
      <c r="BD123" s="1">
        <f xml:space="preserve"> AVERAGE(BD113:BD122)</f>
        <v>-109536.6</v>
      </c>
    </row>
    <row r="124" spans="1:59" x14ac:dyDescent="0.3">
      <c r="A124" s="13">
        <v>-82515</v>
      </c>
      <c r="B124" s="3"/>
      <c r="C124" s="3">
        <v>7832</v>
      </c>
      <c r="D124" s="3"/>
      <c r="E124" s="3"/>
      <c r="F124" s="5"/>
      <c r="I124" s="13"/>
      <c r="J124" s="3">
        <v>-66313</v>
      </c>
      <c r="K124" s="3">
        <v>-8805</v>
      </c>
      <c r="L124" s="3"/>
      <c r="M124" s="3"/>
      <c r="N124" s="5"/>
      <c r="Z124">
        <v>0</v>
      </c>
      <c r="AA124" s="13"/>
      <c r="AB124" s="3"/>
      <c r="AC124" s="3">
        <v>-6952</v>
      </c>
      <c r="AD124" s="3"/>
      <c r="AE124" s="3"/>
      <c r="AF124" s="5"/>
      <c r="BA124">
        <v>0</v>
      </c>
      <c r="BB124" s="13"/>
      <c r="BC124" s="3"/>
      <c r="BD124" s="3">
        <v>-82047</v>
      </c>
      <c r="BE124" s="3"/>
      <c r="BF124" s="3"/>
      <c r="BG124" s="5"/>
    </row>
    <row r="125" spans="1:59" x14ac:dyDescent="0.3">
      <c r="A125" s="6">
        <v>-82362</v>
      </c>
      <c r="C125">
        <v>7935</v>
      </c>
      <c r="F125" s="7"/>
      <c r="I125" s="6"/>
      <c r="J125">
        <v>-66633</v>
      </c>
      <c r="K125">
        <v>-8659</v>
      </c>
      <c r="N125" s="7"/>
      <c r="AA125" s="6"/>
      <c r="AC125">
        <v>-7221</v>
      </c>
      <c r="AF125" s="7"/>
      <c r="BB125" s="6"/>
      <c r="BD125">
        <v>-81965</v>
      </c>
      <c r="BG125" s="7"/>
    </row>
    <row r="126" spans="1:59" x14ac:dyDescent="0.3">
      <c r="A126" s="6">
        <v>-82522</v>
      </c>
      <c r="C126">
        <v>7955</v>
      </c>
      <c r="F126" s="7"/>
      <c r="I126" s="6"/>
      <c r="J126">
        <v>-66484</v>
      </c>
      <c r="K126">
        <v>-8770</v>
      </c>
      <c r="N126" s="7"/>
      <c r="AA126" s="6"/>
      <c r="AC126">
        <v>-7189</v>
      </c>
      <c r="AF126" s="7"/>
      <c r="BB126" s="6"/>
      <c r="BD126">
        <v>-81907</v>
      </c>
      <c r="BG126" s="7"/>
    </row>
    <row r="127" spans="1:59" x14ac:dyDescent="0.3">
      <c r="A127" s="6">
        <v>-82696</v>
      </c>
      <c r="C127">
        <v>7948</v>
      </c>
      <c r="F127" s="7"/>
      <c r="G127" s="30">
        <v>0</v>
      </c>
      <c r="I127" s="6"/>
      <c r="J127">
        <v>-66558</v>
      </c>
      <c r="K127">
        <v>-8772</v>
      </c>
      <c r="N127" s="7"/>
      <c r="O127" s="30">
        <v>0</v>
      </c>
      <c r="AA127" s="6"/>
      <c r="AC127">
        <v>-7585</v>
      </c>
      <c r="AF127" s="7"/>
      <c r="BB127" s="6"/>
      <c r="BD127">
        <v>-81846</v>
      </c>
      <c r="BG127" s="7"/>
    </row>
    <row r="128" spans="1:59" x14ac:dyDescent="0.3">
      <c r="A128" s="6">
        <v>-82355</v>
      </c>
      <c r="C128">
        <v>7809</v>
      </c>
      <c r="F128" s="7"/>
      <c r="G128" s="30"/>
      <c r="I128" s="6"/>
      <c r="J128">
        <v>-66456</v>
      </c>
      <c r="K128">
        <v>-8734</v>
      </c>
      <c r="N128" s="7"/>
      <c r="O128" s="30"/>
      <c r="AA128" s="6"/>
      <c r="AC128">
        <v>-7615</v>
      </c>
      <c r="AF128" s="7"/>
      <c r="BB128" s="6"/>
      <c r="BD128">
        <v>-81913</v>
      </c>
      <c r="BG128" s="7"/>
    </row>
    <row r="129" spans="1:59" x14ac:dyDescent="0.3">
      <c r="A129" s="6">
        <v>-82468</v>
      </c>
      <c r="C129">
        <v>7957</v>
      </c>
      <c r="F129" s="7"/>
      <c r="G129" s="30"/>
      <c r="I129" s="6"/>
      <c r="J129">
        <v>-66534</v>
      </c>
      <c r="K129">
        <v>-8679</v>
      </c>
      <c r="N129" s="7"/>
      <c r="O129" s="30"/>
      <c r="AA129" s="6"/>
      <c r="AC129">
        <v>-6929</v>
      </c>
      <c r="AF129" s="7"/>
      <c r="BB129" s="6"/>
      <c r="BD129">
        <v>-82166</v>
      </c>
      <c r="BG129" s="7"/>
    </row>
    <row r="130" spans="1:59" x14ac:dyDescent="0.3">
      <c r="A130" s="6">
        <v>-82486</v>
      </c>
      <c r="C130">
        <v>7944</v>
      </c>
      <c r="F130" s="7"/>
      <c r="G130" s="30"/>
      <c r="I130" s="6"/>
      <c r="J130">
        <v>-66517</v>
      </c>
      <c r="K130">
        <v>-8686</v>
      </c>
      <c r="N130" s="7"/>
      <c r="O130" s="30"/>
      <c r="AA130" s="6"/>
      <c r="AC130">
        <v>-6639</v>
      </c>
      <c r="AF130" s="7"/>
      <c r="BB130" s="6"/>
      <c r="BD130">
        <v>-82030</v>
      </c>
      <c r="BG130" s="7"/>
    </row>
    <row r="131" spans="1:59" x14ac:dyDescent="0.3">
      <c r="A131" s="6">
        <v>-82404</v>
      </c>
      <c r="C131">
        <v>7865</v>
      </c>
      <c r="F131" s="7"/>
      <c r="G131" s="30"/>
      <c r="I131" s="6"/>
      <c r="J131">
        <v>-66340</v>
      </c>
      <c r="K131">
        <v>-8790</v>
      </c>
      <c r="N131" s="7"/>
      <c r="O131" s="30"/>
      <c r="AA131" s="6"/>
      <c r="AC131">
        <v>-6971</v>
      </c>
      <c r="AF131" s="7"/>
      <c r="BB131" s="6"/>
      <c r="BD131">
        <v>-81798</v>
      </c>
      <c r="BG131" s="7"/>
    </row>
    <row r="132" spans="1:59" x14ac:dyDescent="0.3">
      <c r="A132" s="6">
        <v>-82492</v>
      </c>
      <c r="C132">
        <v>7816</v>
      </c>
      <c r="F132" s="7"/>
      <c r="I132" s="6"/>
      <c r="J132">
        <v>-66447</v>
      </c>
      <c r="K132">
        <v>-8727</v>
      </c>
      <c r="N132" s="7"/>
      <c r="AA132" s="6"/>
      <c r="AC132">
        <v>-7174</v>
      </c>
      <c r="AF132" s="7"/>
      <c r="BB132" s="6"/>
      <c r="BD132">
        <v>-81763</v>
      </c>
      <c r="BG132" s="7"/>
    </row>
    <row r="133" spans="1:59" ht="15" thickBot="1" x14ac:dyDescent="0.35">
      <c r="A133" s="11">
        <v>-82327</v>
      </c>
      <c r="B133" s="9"/>
      <c r="C133" s="9">
        <v>7958</v>
      </c>
      <c r="D133" s="9"/>
      <c r="E133" s="9"/>
      <c r="F133" s="10"/>
      <c r="I133" s="11"/>
      <c r="J133" s="9">
        <v>-66548</v>
      </c>
      <c r="K133" s="9">
        <v>-8732</v>
      </c>
      <c r="L133" s="9"/>
      <c r="M133" s="9"/>
      <c r="N133" s="10"/>
      <c r="AA133" s="11"/>
      <c r="AB133" s="9"/>
      <c r="AC133" s="9">
        <v>-7187</v>
      </c>
      <c r="AD133" s="9"/>
      <c r="AE133" s="9"/>
      <c r="AF133" s="10"/>
      <c r="BB133" s="11"/>
      <c r="BC133" s="9"/>
      <c r="BD133" s="9">
        <v>-81875</v>
      </c>
      <c r="BE133" s="9"/>
      <c r="BF133" s="9"/>
      <c r="BG133" s="10"/>
    </row>
    <row r="134" spans="1:59" x14ac:dyDescent="0.3">
      <c r="A134" s="1">
        <f>AVERAGE(A124:A133)</f>
        <v>-82462.7</v>
      </c>
      <c r="K134" s="1">
        <f>AVERAGE(K124:K133)</f>
        <v>-8735.4</v>
      </c>
      <c r="AC134" s="1">
        <f xml:space="preserve"> AVERAGE(AC124:AC133)</f>
        <v>-7146.2</v>
      </c>
      <c r="BD134" s="1">
        <f xml:space="preserve"> AVERAGE(BD124:BD133)</f>
        <v>-81931</v>
      </c>
    </row>
    <row r="141" spans="1:59" x14ac:dyDescent="0.3">
      <c r="U141">
        <v>1.84</v>
      </c>
      <c r="V141">
        <v>-0.26600000000000001</v>
      </c>
    </row>
    <row r="142" spans="1:59" x14ac:dyDescent="0.3">
      <c r="I142" s="16" t="s">
        <v>30</v>
      </c>
      <c r="J142" s="25" t="s">
        <v>10</v>
      </c>
      <c r="K142" s="25" t="s">
        <v>11</v>
      </c>
      <c r="L142" s="25" t="s">
        <v>23</v>
      </c>
      <c r="M142" s="26"/>
      <c r="N142" s="16" t="s">
        <v>12</v>
      </c>
      <c r="O142" s="16" t="s">
        <v>13</v>
      </c>
      <c r="P142" s="16" t="s">
        <v>20</v>
      </c>
      <c r="Q142" s="16" t="s">
        <v>22</v>
      </c>
      <c r="R142" s="16" t="s">
        <v>20</v>
      </c>
      <c r="S142" s="16" t="s">
        <v>22</v>
      </c>
      <c r="U142">
        <v>1.86</v>
      </c>
      <c r="V142">
        <v>-0.35699999999999998</v>
      </c>
    </row>
    <row r="143" spans="1:59" x14ac:dyDescent="0.3">
      <c r="I143" s="17">
        <v>0</v>
      </c>
      <c r="J143" s="26">
        <v>0</v>
      </c>
      <c r="K143" s="26">
        <v>-82545.2</v>
      </c>
      <c r="L143" s="26">
        <v>0</v>
      </c>
      <c r="M143" s="26">
        <v>0</v>
      </c>
      <c r="N143" s="17">
        <v>0</v>
      </c>
      <c r="O143" s="17">
        <v>-8330.2999999999993</v>
      </c>
      <c r="P143" s="17">
        <v>0</v>
      </c>
      <c r="Q143" s="17">
        <f>0-0</f>
        <v>0</v>
      </c>
      <c r="R143" s="17">
        <v>-9.700000000000002E-3</v>
      </c>
      <c r="S143" s="17">
        <f t="shared" ref="S143:S154" si="2">(N143-R143)</f>
        <v>9.700000000000002E-3</v>
      </c>
      <c r="U143">
        <v>1.84</v>
      </c>
      <c r="V143">
        <v>-0.32900000000000001</v>
      </c>
    </row>
    <row r="144" spans="1:59" x14ac:dyDescent="0.3">
      <c r="I144" s="17">
        <v>0.5</v>
      </c>
      <c r="J144" s="26">
        <v>4.9050000000000002</v>
      </c>
      <c r="K144" s="26">
        <v>-109779.5</v>
      </c>
      <c r="L144" s="26">
        <v>5.0209090909090914</v>
      </c>
      <c r="M144" s="26">
        <f>L144-J144</f>
        <v>0.11590909090909118</v>
      </c>
      <c r="N144" s="17">
        <v>4.9050000000000002</v>
      </c>
      <c r="O144" s="17">
        <v>-35979.5</v>
      </c>
      <c r="P144" s="17">
        <v>4.8259999999999996</v>
      </c>
      <c r="Q144" s="17">
        <f>P144-N144</f>
        <v>-7.9000000000000625E-2</v>
      </c>
      <c r="R144" s="17">
        <v>4.4915000000000003</v>
      </c>
      <c r="S144" s="17">
        <f t="shared" si="2"/>
        <v>0.41349999999999998</v>
      </c>
      <c r="U144">
        <v>1.83</v>
      </c>
      <c r="V144">
        <v>-0.312</v>
      </c>
    </row>
    <row r="145" spans="9:22" x14ac:dyDescent="0.3">
      <c r="I145" s="17">
        <v>1</v>
      </c>
      <c r="J145" s="26">
        <v>9.81</v>
      </c>
      <c r="K145" s="26">
        <v>-136786.4</v>
      </c>
      <c r="L145" s="26">
        <v>10.035999999999998</v>
      </c>
      <c r="M145" s="26">
        <f>L145-J145</f>
        <v>0.22599999999999731</v>
      </c>
      <c r="N145" s="17">
        <v>9.81</v>
      </c>
      <c r="O145" s="17">
        <v>-64097.4</v>
      </c>
      <c r="P145" s="17">
        <v>9.798</v>
      </c>
      <c r="Q145" s="17">
        <f>P145-N145</f>
        <v>-1.2000000000000455E-2</v>
      </c>
      <c r="R145" s="17">
        <v>9.3445</v>
      </c>
      <c r="S145" s="17">
        <f t="shared" si="2"/>
        <v>0.46550000000000047</v>
      </c>
      <c r="U145">
        <v>1.85</v>
      </c>
      <c r="V145">
        <v>-0.29599999999999999</v>
      </c>
    </row>
    <row r="146" spans="9:22" x14ac:dyDescent="0.3">
      <c r="I146" s="17">
        <v>2</v>
      </c>
      <c r="J146" s="26">
        <v>19.62</v>
      </c>
      <c r="K146" s="26">
        <v>-190861.7</v>
      </c>
      <c r="L146" s="26">
        <v>20.016000000000002</v>
      </c>
      <c r="M146" s="26">
        <f>L146-J146</f>
        <v>0.3960000000000008</v>
      </c>
      <c r="N146" s="17">
        <v>19.62</v>
      </c>
      <c r="O146" s="17">
        <v>-119758.3</v>
      </c>
      <c r="P146" s="17">
        <v>19.532999999999998</v>
      </c>
      <c r="Q146" s="17">
        <f>P146-N146</f>
        <v>-8.7000000000003297E-2</v>
      </c>
      <c r="R146" s="17">
        <v>18.9635</v>
      </c>
      <c r="S146" s="17">
        <f t="shared" si="2"/>
        <v>0.65650000000000119</v>
      </c>
      <c r="U146">
        <v>1.84</v>
      </c>
      <c r="V146">
        <v>-0.26400000000000001</v>
      </c>
    </row>
    <row r="147" spans="9:22" x14ac:dyDescent="0.3">
      <c r="I147" s="17">
        <v>3</v>
      </c>
      <c r="J147" s="26">
        <v>29.43</v>
      </c>
      <c r="K147" s="26">
        <v>-244288</v>
      </c>
      <c r="L147" s="26">
        <v>30.033000000000005</v>
      </c>
      <c r="M147" s="26">
        <f>L147-J147</f>
        <v>0.60300000000000509</v>
      </c>
      <c r="N147" s="17">
        <v>29.43</v>
      </c>
      <c r="O147" s="17">
        <v>-174274.2</v>
      </c>
      <c r="P147" s="17">
        <v>29.220999999999997</v>
      </c>
      <c r="Q147" s="17">
        <f>P147-N147</f>
        <v>-0.20900000000000318</v>
      </c>
      <c r="R147" s="17">
        <v>28.795999999999999</v>
      </c>
      <c r="S147" s="17">
        <f t="shared" si="2"/>
        <v>0.63400000000000034</v>
      </c>
      <c r="U147">
        <v>1.79</v>
      </c>
      <c r="V147">
        <v>-0.186</v>
      </c>
    </row>
    <row r="148" spans="9:22" x14ac:dyDescent="0.3">
      <c r="I148" s="17">
        <v>4</v>
      </c>
      <c r="J148" s="26">
        <v>39.24</v>
      </c>
      <c r="K148" s="26">
        <v>-299110.8</v>
      </c>
      <c r="L148" s="26">
        <v>40.063000000000002</v>
      </c>
      <c r="M148" s="26">
        <f>L148-J148</f>
        <v>0.8230000000000004</v>
      </c>
      <c r="N148" s="17">
        <v>39.24</v>
      </c>
      <c r="O148" s="17">
        <v>-228963.7</v>
      </c>
      <c r="P148" s="17">
        <v>38.924999999999997</v>
      </c>
      <c r="Q148" s="17">
        <f>P148-N148</f>
        <v>-0.31500000000000483</v>
      </c>
      <c r="R148" s="17">
        <v>38.660899999999998</v>
      </c>
      <c r="S148" s="17">
        <f t="shared" si="2"/>
        <v>0.57910000000000394</v>
      </c>
      <c r="U148">
        <v>1.8</v>
      </c>
      <c r="V148">
        <v>-0.26200000000000001</v>
      </c>
    </row>
    <row r="149" spans="9:22" x14ac:dyDescent="0.3">
      <c r="I149" s="17">
        <v>4</v>
      </c>
      <c r="J149" s="26">
        <v>39.24</v>
      </c>
      <c r="K149" s="26">
        <v>-298773.3</v>
      </c>
      <c r="L149" s="26"/>
      <c r="M149" s="26"/>
      <c r="N149" s="17">
        <v>39.24</v>
      </c>
      <c r="O149" s="17">
        <v>-229999.5</v>
      </c>
      <c r="P149" s="17"/>
      <c r="R149" s="24">
        <v>38.520000000000003</v>
      </c>
      <c r="S149" s="24">
        <f t="shared" si="2"/>
        <v>0.71999999999999886</v>
      </c>
      <c r="U149">
        <v>1.83</v>
      </c>
      <c r="V149">
        <v>-0.378</v>
      </c>
    </row>
    <row r="150" spans="9:22" x14ac:dyDescent="0.3">
      <c r="I150" s="17">
        <v>3</v>
      </c>
      <c r="J150" s="26">
        <v>29.43</v>
      </c>
      <c r="K150" s="26">
        <v>-244737.4</v>
      </c>
      <c r="L150" s="26"/>
      <c r="M150" s="26"/>
      <c r="N150" s="17">
        <v>29.43</v>
      </c>
      <c r="O150" s="17">
        <v>-173720.8</v>
      </c>
      <c r="P150" s="17"/>
      <c r="R150" s="24">
        <v>28.835799999999999</v>
      </c>
      <c r="S150" s="24">
        <f t="shared" si="2"/>
        <v>0.59420000000000073</v>
      </c>
      <c r="U150">
        <v>1.79</v>
      </c>
      <c r="V150">
        <v>-0.34699999999999998</v>
      </c>
    </row>
    <row r="151" spans="9:22" x14ac:dyDescent="0.3">
      <c r="I151" s="17">
        <v>2</v>
      </c>
      <c r="J151" s="26">
        <v>19.62</v>
      </c>
      <c r="K151" s="26">
        <v>-190628.9</v>
      </c>
      <c r="L151" s="26"/>
      <c r="M151" s="26"/>
      <c r="N151" s="17">
        <v>19.62</v>
      </c>
      <c r="O151" s="17">
        <v>-119285.4</v>
      </c>
      <c r="P151" s="17"/>
      <c r="R151" s="24">
        <v>19.122699999999998</v>
      </c>
      <c r="S151" s="24">
        <f t="shared" si="2"/>
        <v>0.49730000000000274</v>
      </c>
      <c r="V151" s="1">
        <f>AVERAGE(V141:V150)</f>
        <v>-0.29970000000000002</v>
      </c>
    </row>
    <row r="152" spans="9:22" x14ac:dyDescent="0.3">
      <c r="I152" s="17">
        <v>1</v>
      </c>
      <c r="J152" s="26">
        <v>9.81</v>
      </c>
      <c r="K152" s="26">
        <v>-136637.1</v>
      </c>
      <c r="L152" s="26"/>
      <c r="M152" s="26"/>
      <c r="N152" s="17">
        <v>9.81</v>
      </c>
      <c r="O152" s="17">
        <v>-64132.9</v>
      </c>
      <c r="P152" s="17"/>
      <c r="R152">
        <v>9.3919999999999995</v>
      </c>
      <c r="S152" s="24">
        <f t="shared" si="2"/>
        <v>0.41800000000000104</v>
      </c>
    </row>
    <row r="153" spans="9:22" x14ac:dyDescent="0.3">
      <c r="I153" s="17">
        <v>0.5</v>
      </c>
      <c r="J153" s="26">
        <v>4.9050000000000002</v>
      </c>
      <c r="K153" s="26">
        <v>-109280.6</v>
      </c>
      <c r="L153" s="26"/>
      <c r="M153" s="26"/>
      <c r="N153" s="17">
        <v>4.9050000000000002</v>
      </c>
      <c r="O153" s="17">
        <v>-36387.300000000003</v>
      </c>
      <c r="P153" s="17"/>
      <c r="R153">
        <v>4.556</v>
      </c>
      <c r="S153" s="24">
        <f t="shared" si="2"/>
        <v>0.3490000000000002</v>
      </c>
    </row>
    <row r="154" spans="9:22" x14ac:dyDescent="0.3">
      <c r="I154" s="17">
        <v>0</v>
      </c>
      <c r="J154" s="26">
        <v>0</v>
      </c>
      <c r="K154" s="26">
        <v>-82462.7</v>
      </c>
      <c r="L154" s="26"/>
      <c r="M154" s="26"/>
      <c r="N154" s="17">
        <v>0</v>
      </c>
      <c r="O154" s="17">
        <v>-8735.4</v>
      </c>
      <c r="P154" s="17"/>
      <c r="R154">
        <v>-0.29970000000000002</v>
      </c>
      <c r="S154" s="24">
        <f t="shared" si="2"/>
        <v>0.29970000000000002</v>
      </c>
    </row>
    <row r="155" spans="9:22" x14ac:dyDescent="0.3">
      <c r="J155" s="27"/>
      <c r="K155" s="27"/>
      <c r="L155" s="27"/>
      <c r="M155" s="27"/>
    </row>
    <row r="161" spans="10:30" x14ac:dyDescent="0.3">
      <c r="J161">
        <v>40.06</v>
      </c>
      <c r="K161">
        <v>0.18</v>
      </c>
    </row>
    <row r="162" spans="10:30" x14ac:dyDescent="0.3">
      <c r="J162">
        <v>40.08</v>
      </c>
      <c r="K162">
        <v>0.17</v>
      </c>
    </row>
    <row r="163" spans="10:30" x14ac:dyDescent="0.3">
      <c r="J163">
        <v>40.03</v>
      </c>
      <c r="K163">
        <v>0.19</v>
      </c>
    </row>
    <row r="164" spans="10:30" x14ac:dyDescent="0.3">
      <c r="J164">
        <v>40.08</v>
      </c>
      <c r="K164">
        <v>0.21</v>
      </c>
    </row>
    <row r="165" spans="10:30" x14ac:dyDescent="0.3">
      <c r="J165">
        <v>40.07</v>
      </c>
      <c r="K165">
        <v>0.19</v>
      </c>
      <c r="AD165" t="s">
        <v>21</v>
      </c>
    </row>
    <row r="166" spans="10:30" x14ac:dyDescent="0.3">
      <c r="J166">
        <v>40.07</v>
      </c>
      <c r="K166">
        <v>0.19</v>
      </c>
    </row>
    <row r="167" spans="10:30" x14ac:dyDescent="0.3">
      <c r="J167">
        <v>40.049999999999997</v>
      </c>
      <c r="K167">
        <v>0.17</v>
      </c>
    </row>
    <row r="168" spans="10:30" x14ac:dyDescent="0.3">
      <c r="J168">
        <v>40.07</v>
      </c>
      <c r="K168">
        <v>0.17</v>
      </c>
    </row>
    <row r="169" spans="10:30" x14ac:dyDescent="0.3">
      <c r="J169">
        <v>40.06</v>
      </c>
      <c r="K169">
        <v>0.14000000000000001</v>
      </c>
    </row>
    <row r="170" spans="10:30" x14ac:dyDescent="0.3">
      <c r="J170">
        <v>40.06</v>
      </c>
      <c r="K170">
        <v>0.15</v>
      </c>
    </row>
    <row r="172" spans="10:30" x14ac:dyDescent="0.3">
      <c r="J172" s="1">
        <f>AVERAGE(J161:J171)</f>
        <v>40.063000000000002</v>
      </c>
    </row>
  </sheetData>
  <mergeCells count="26">
    <mergeCell ref="G2:G5"/>
    <mergeCell ref="O2:O5"/>
    <mergeCell ref="G8:G12"/>
    <mergeCell ref="O8:O12"/>
    <mergeCell ref="G14:G23"/>
    <mergeCell ref="O14:O23"/>
    <mergeCell ref="G25:G34"/>
    <mergeCell ref="O25:O34"/>
    <mergeCell ref="G40:G44"/>
    <mergeCell ref="O40:O44"/>
    <mergeCell ref="G50:G54"/>
    <mergeCell ref="O50:O54"/>
    <mergeCell ref="G62:G66"/>
    <mergeCell ref="O62:O66"/>
    <mergeCell ref="G72:G76"/>
    <mergeCell ref="O72:O76"/>
    <mergeCell ref="G83:G87"/>
    <mergeCell ref="O83:O87"/>
    <mergeCell ref="G127:G131"/>
    <mergeCell ref="O127:O131"/>
    <mergeCell ref="G94:G98"/>
    <mergeCell ref="O94:O98"/>
    <mergeCell ref="G105:G109"/>
    <mergeCell ref="O105:O109"/>
    <mergeCell ref="G116:G120"/>
    <mergeCell ref="O116:O1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18C2-1D35-4416-8FA9-6BF77B0A36CF}">
  <dimension ref="A1:G21"/>
  <sheetViews>
    <sheetView zoomScale="101" workbookViewId="0">
      <selection activeCell="E14" sqref="E14"/>
    </sheetView>
  </sheetViews>
  <sheetFormatPr defaultRowHeight="14.4" x14ac:dyDescent="0.3"/>
  <sheetData>
    <row r="1" spans="1:7" x14ac:dyDescent="0.3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29</v>
      </c>
      <c r="F1" s="17" t="s">
        <v>28</v>
      </c>
    </row>
    <row r="2" spans="1:7" x14ac:dyDescent="0.3">
      <c r="A2" s="17">
        <v>5</v>
      </c>
      <c r="B2" s="17">
        <v>2.9159999999999999</v>
      </c>
      <c r="C2" s="17">
        <v>-90</v>
      </c>
      <c r="D2" s="17">
        <v>-83</v>
      </c>
      <c r="E2" s="17">
        <f xml:space="preserve"> D2-C2</f>
        <v>7</v>
      </c>
      <c r="F2" s="17">
        <f xml:space="preserve"> B2-A2</f>
        <v>-2.0840000000000001</v>
      </c>
    </row>
    <row r="3" spans="1:7" x14ac:dyDescent="0.3">
      <c r="A3" s="17">
        <v>10.1</v>
      </c>
      <c r="B3" s="17">
        <v>6.2240000000000002</v>
      </c>
      <c r="C3" s="17">
        <v>-90</v>
      </c>
      <c r="D3" s="17">
        <v>-84</v>
      </c>
      <c r="E3" s="17">
        <f xml:space="preserve"> D3-C3</f>
        <v>6</v>
      </c>
      <c r="F3" s="17">
        <f xml:space="preserve"> B3-A3</f>
        <v>-3.8759999999999994</v>
      </c>
    </row>
    <row r="4" spans="1:7" x14ac:dyDescent="0.3">
      <c r="A4" s="17">
        <v>15</v>
      </c>
      <c r="B4" s="17">
        <v>9.8949999999999996</v>
      </c>
      <c r="C4" s="17">
        <v>-90</v>
      </c>
      <c r="D4" s="17">
        <v>-86</v>
      </c>
      <c r="E4" s="17">
        <f xml:space="preserve"> D4-C4</f>
        <v>4</v>
      </c>
      <c r="F4" s="17">
        <f xml:space="preserve"> B4-A4</f>
        <v>-5.1050000000000004</v>
      </c>
    </row>
    <row r="5" spans="1:7" x14ac:dyDescent="0.3">
      <c r="A5" s="17">
        <v>20</v>
      </c>
      <c r="B5" s="17">
        <v>13.5</v>
      </c>
      <c r="C5" s="17">
        <v>-90</v>
      </c>
      <c r="D5" s="17">
        <v>-85</v>
      </c>
      <c r="E5" s="17">
        <f xml:space="preserve"> D5-C5</f>
        <v>5</v>
      </c>
      <c r="F5" s="17">
        <f xml:space="preserve"> B5-A5</f>
        <v>-6.5</v>
      </c>
    </row>
    <row r="6" spans="1:7" x14ac:dyDescent="0.3">
      <c r="A6" s="17">
        <v>24</v>
      </c>
      <c r="B6" s="17">
        <v>14.9</v>
      </c>
      <c r="C6" s="17">
        <v>-90</v>
      </c>
      <c r="D6" s="17">
        <v>-85</v>
      </c>
      <c r="E6" s="17">
        <f xml:space="preserve"> D6-C6</f>
        <v>5</v>
      </c>
      <c r="F6" s="17">
        <f xml:space="preserve"> B6-A6</f>
        <v>-9.1</v>
      </c>
    </row>
    <row r="8" spans="1:7" x14ac:dyDescent="0.3">
      <c r="G8" s="17"/>
    </row>
    <row r="16" spans="1:7" x14ac:dyDescent="0.3">
      <c r="A16" s="17" t="s">
        <v>24</v>
      </c>
      <c r="B16" s="23" t="s">
        <v>25</v>
      </c>
      <c r="C16" s="23" t="s">
        <v>26</v>
      </c>
      <c r="D16" s="23" t="s">
        <v>27</v>
      </c>
      <c r="E16" s="23" t="s">
        <v>29</v>
      </c>
      <c r="F16" s="23" t="s">
        <v>28</v>
      </c>
    </row>
    <row r="17" spans="1:6" x14ac:dyDescent="0.3">
      <c r="A17" s="22">
        <v>5</v>
      </c>
      <c r="B17" s="17">
        <v>6.9</v>
      </c>
      <c r="C17" s="17">
        <v>-90</v>
      </c>
      <c r="D17" s="17">
        <v>-96.7</v>
      </c>
      <c r="E17" s="17">
        <f xml:space="preserve"> D17-C17</f>
        <v>-6.7000000000000028</v>
      </c>
      <c r="F17" s="17">
        <f xml:space="preserve"> B17-A17</f>
        <v>1.9000000000000004</v>
      </c>
    </row>
    <row r="18" spans="1:6" x14ac:dyDescent="0.3">
      <c r="A18" s="22">
        <v>10.1</v>
      </c>
      <c r="B18" s="17">
        <v>13</v>
      </c>
      <c r="C18" s="17">
        <v>-90</v>
      </c>
      <c r="D18" s="17">
        <v>-96.2</v>
      </c>
      <c r="E18" s="17">
        <f xml:space="preserve"> D18-C18</f>
        <v>-6.2000000000000028</v>
      </c>
      <c r="F18" s="17">
        <f xml:space="preserve"> B18-A18</f>
        <v>2.9000000000000004</v>
      </c>
    </row>
    <row r="19" spans="1:6" x14ac:dyDescent="0.3">
      <c r="A19" s="22">
        <v>15</v>
      </c>
      <c r="B19" s="17">
        <v>20.053999999999998</v>
      </c>
      <c r="C19" s="17">
        <v>-90</v>
      </c>
      <c r="D19" s="17">
        <v>-95.7</v>
      </c>
      <c r="E19" s="17">
        <f xml:space="preserve"> D19-C19</f>
        <v>-5.7000000000000028</v>
      </c>
      <c r="F19" s="17">
        <f xml:space="preserve"> B19-A19</f>
        <v>5.0539999999999985</v>
      </c>
    </row>
    <row r="20" spans="1:6" x14ac:dyDescent="0.3">
      <c r="A20" s="22">
        <v>20</v>
      </c>
      <c r="B20" s="17">
        <v>29.9</v>
      </c>
      <c r="C20" s="17">
        <v>-90</v>
      </c>
      <c r="D20" s="17">
        <v>-96.08</v>
      </c>
      <c r="E20" s="17">
        <f xml:space="preserve"> D20-C20</f>
        <v>-6.0799999999999983</v>
      </c>
      <c r="F20" s="17">
        <f xml:space="preserve"> B20-A20</f>
        <v>9.8999999999999986</v>
      </c>
    </row>
    <row r="21" spans="1:6" x14ac:dyDescent="0.3">
      <c r="A21" s="22">
        <v>24</v>
      </c>
      <c r="B21" s="17">
        <v>35</v>
      </c>
      <c r="C21" s="17">
        <v>-90</v>
      </c>
      <c r="D21" s="17">
        <v>-96.3</v>
      </c>
      <c r="E21" s="17">
        <f xml:space="preserve"> D21-C21</f>
        <v>-6.2999999999999972</v>
      </c>
      <c r="F21" s="17">
        <f xml:space="preserve"> B21-A21</f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 and Y Calibration</vt:lpstr>
      <vt:lpstr>validation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Vaidheesh</dc:creator>
  <cp:lastModifiedBy>Vaidheesh</cp:lastModifiedBy>
  <dcterms:created xsi:type="dcterms:W3CDTF">2026-05-23T07:31:13Z</dcterms:created>
  <dcterms:modified xsi:type="dcterms:W3CDTF">2026-06-08T03:43:56Z</dcterms:modified>
</cp:coreProperties>
</file>